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ik\Desktop\"/>
    </mc:Choice>
  </mc:AlternateContent>
  <xr:revisionPtr revIDLastSave="0" documentId="13_ncr:1_{B4D267F1-6C23-4AFF-B3A6-28E7F0C74F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lc" sheetId="2" r:id="rId2"/>
    <sheet name="Data" sheetId="3" r:id="rId3"/>
  </sheets>
  <definedNames>
    <definedName name="_xlnm._FilterDatabase" localSheetId="2" hidden="1">Data!$A$1:$M$501</definedName>
    <definedName name="_xlnm.Print_Area" localSheetId="0">Dashboard!$A$1:$Z$38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01" i="3" l="1"/>
  <c r="M501" i="3" s="1"/>
  <c r="K501" i="3"/>
  <c r="J501" i="3"/>
  <c r="L500" i="3"/>
  <c r="K500" i="3"/>
  <c r="J500" i="3"/>
  <c r="L499" i="3"/>
  <c r="K499" i="3"/>
  <c r="J499" i="3"/>
  <c r="L498" i="3"/>
  <c r="M498" i="3" s="1"/>
  <c r="K498" i="3"/>
  <c r="J498" i="3"/>
  <c r="L497" i="3"/>
  <c r="K497" i="3"/>
  <c r="J497" i="3"/>
  <c r="L496" i="3"/>
  <c r="K496" i="3"/>
  <c r="J496" i="3"/>
  <c r="L495" i="3"/>
  <c r="M495" i="3" s="1"/>
  <c r="K495" i="3"/>
  <c r="J495" i="3"/>
  <c r="L494" i="3"/>
  <c r="M494" i="3" s="1"/>
  <c r="K494" i="3"/>
  <c r="J494" i="3"/>
  <c r="L493" i="3"/>
  <c r="K493" i="3"/>
  <c r="J493" i="3"/>
  <c r="L492" i="3"/>
  <c r="M492" i="3" s="1"/>
  <c r="K492" i="3"/>
  <c r="J492" i="3"/>
  <c r="L491" i="3"/>
  <c r="M491" i="3" s="1"/>
  <c r="K491" i="3"/>
  <c r="J491" i="3"/>
  <c r="L490" i="3"/>
  <c r="M490" i="3" s="1"/>
  <c r="K490" i="3"/>
  <c r="J490" i="3"/>
  <c r="L489" i="3"/>
  <c r="M489" i="3" s="1"/>
  <c r="K489" i="3"/>
  <c r="J489" i="3"/>
  <c r="L488" i="3"/>
  <c r="K488" i="3"/>
  <c r="J488" i="3"/>
  <c r="L487" i="3"/>
  <c r="K487" i="3"/>
  <c r="J487" i="3"/>
  <c r="L486" i="3"/>
  <c r="K486" i="3"/>
  <c r="J486" i="3"/>
  <c r="M486" i="3" s="1"/>
  <c r="L485" i="3"/>
  <c r="K485" i="3"/>
  <c r="J485" i="3"/>
  <c r="L484" i="3"/>
  <c r="K484" i="3"/>
  <c r="J484" i="3"/>
  <c r="L483" i="3"/>
  <c r="M483" i="3" s="1"/>
  <c r="K483" i="3"/>
  <c r="J483" i="3"/>
  <c r="L482" i="3"/>
  <c r="M482" i="3" s="1"/>
  <c r="K482" i="3"/>
  <c r="J482" i="3"/>
  <c r="L481" i="3"/>
  <c r="K481" i="3"/>
  <c r="J481" i="3"/>
  <c r="L480" i="3"/>
  <c r="M480" i="3" s="1"/>
  <c r="K480" i="3"/>
  <c r="J480" i="3"/>
  <c r="L479" i="3"/>
  <c r="K479" i="3"/>
  <c r="J479" i="3"/>
  <c r="L478" i="3"/>
  <c r="K478" i="3"/>
  <c r="J478" i="3"/>
  <c r="L477" i="3"/>
  <c r="M477" i="3" s="1"/>
  <c r="K477" i="3"/>
  <c r="J477" i="3"/>
  <c r="L476" i="3"/>
  <c r="M476" i="3" s="1"/>
  <c r="K476" i="3"/>
  <c r="J476" i="3"/>
  <c r="L475" i="3"/>
  <c r="K475" i="3"/>
  <c r="J475" i="3"/>
  <c r="L474" i="3"/>
  <c r="M474" i="3" s="1"/>
  <c r="K474" i="3"/>
  <c r="J474" i="3"/>
  <c r="L473" i="3"/>
  <c r="M473" i="3" s="1"/>
  <c r="K473" i="3"/>
  <c r="J473" i="3"/>
  <c r="L472" i="3"/>
  <c r="M472" i="3" s="1"/>
  <c r="K472" i="3"/>
  <c r="J472" i="3"/>
  <c r="L471" i="3"/>
  <c r="M471" i="3" s="1"/>
  <c r="K471" i="3"/>
  <c r="J471" i="3"/>
  <c r="L470" i="3"/>
  <c r="K470" i="3"/>
  <c r="J470" i="3"/>
  <c r="L469" i="3"/>
  <c r="K469" i="3"/>
  <c r="J469" i="3"/>
  <c r="L468" i="3"/>
  <c r="M468" i="3" s="1"/>
  <c r="K468" i="3"/>
  <c r="J468" i="3"/>
  <c r="L467" i="3"/>
  <c r="K467" i="3"/>
  <c r="J467" i="3"/>
  <c r="L466" i="3"/>
  <c r="K466" i="3"/>
  <c r="J466" i="3"/>
  <c r="M465" i="3"/>
  <c r="L465" i="3"/>
  <c r="K465" i="3"/>
  <c r="J465" i="3"/>
  <c r="L464" i="3"/>
  <c r="M464" i="3" s="1"/>
  <c r="K464" i="3"/>
  <c r="J464" i="3"/>
  <c r="L463" i="3"/>
  <c r="K463" i="3"/>
  <c r="J463" i="3"/>
  <c r="L462" i="3"/>
  <c r="M462" i="3" s="1"/>
  <c r="K462" i="3"/>
  <c r="J462" i="3"/>
  <c r="L461" i="3"/>
  <c r="K461" i="3"/>
  <c r="J461" i="3"/>
  <c r="L460" i="3"/>
  <c r="K460" i="3"/>
  <c r="J460" i="3"/>
  <c r="L459" i="3"/>
  <c r="M459" i="3" s="1"/>
  <c r="K459" i="3"/>
  <c r="J459" i="3"/>
  <c r="L458" i="3"/>
  <c r="M458" i="3" s="1"/>
  <c r="K458" i="3"/>
  <c r="J458" i="3"/>
  <c r="L457" i="3"/>
  <c r="K457" i="3"/>
  <c r="J457" i="3"/>
  <c r="L456" i="3"/>
  <c r="M456" i="3" s="1"/>
  <c r="K456" i="3"/>
  <c r="J456" i="3"/>
  <c r="L455" i="3"/>
  <c r="M455" i="3" s="1"/>
  <c r="K455" i="3"/>
  <c r="J455" i="3"/>
  <c r="L454" i="3"/>
  <c r="M454" i="3" s="1"/>
  <c r="K454" i="3"/>
  <c r="J454" i="3"/>
  <c r="L453" i="3"/>
  <c r="M453" i="3" s="1"/>
  <c r="K453" i="3"/>
  <c r="J453" i="3"/>
  <c r="L452" i="3"/>
  <c r="K452" i="3"/>
  <c r="J452" i="3"/>
  <c r="L451" i="3"/>
  <c r="K451" i="3"/>
  <c r="J451" i="3"/>
  <c r="L450" i="3"/>
  <c r="M450" i="3" s="1"/>
  <c r="K450" i="3"/>
  <c r="J450" i="3"/>
  <c r="L449" i="3"/>
  <c r="M449" i="3" s="1"/>
  <c r="K449" i="3"/>
  <c r="J449" i="3"/>
  <c r="L448" i="3"/>
  <c r="K448" i="3"/>
  <c r="J448" i="3"/>
  <c r="L447" i="3"/>
  <c r="M447" i="3" s="1"/>
  <c r="K447" i="3"/>
  <c r="J447" i="3"/>
  <c r="L446" i="3"/>
  <c r="M446" i="3" s="1"/>
  <c r="K446" i="3"/>
  <c r="J446" i="3"/>
  <c r="L445" i="3"/>
  <c r="K445" i="3"/>
  <c r="J445" i="3"/>
  <c r="L444" i="3"/>
  <c r="M444" i="3" s="1"/>
  <c r="K444" i="3"/>
  <c r="J444" i="3"/>
  <c r="L443" i="3"/>
  <c r="K443" i="3"/>
  <c r="J443" i="3"/>
  <c r="L442" i="3"/>
  <c r="K442" i="3"/>
  <c r="J442" i="3"/>
  <c r="L441" i="3"/>
  <c r="M441" i="3" s="1"/>
  <c r="K441" i="3"/>
  <c r="J441" i="3"/>
  <c r="L440" i="3"/>
  <c r="M440" i="3" s="1"/>
  <c r="K440" i="3"/>
  <c r="J440" i="3"/>
  <c r="L439" i="3"/>
  <c r="M439" i="3" s="1"/>
  <c r="K439" i="3"/>
  <c r="J439" i="3"/>
  <c r="L438" i="3"/>
  <c r="M438" i="3" s="1"/>
  <c r="K438" i="3"/>
  <c r="J438" i="3"/>
  <c r="L437" i="3"/>
  <c r="M437" i="3" s="1"/>
  <c r="K437" i="3"/>
  <c r="J437" i="3"/>
  <c r="L436" i="3"/>
  <c r="M436" i="3" s="1"/>
  <c r="K436" i="3"/>
  <c r="J436" i="3"/>
  <c r="L435" i="3"/>
  <c r="M435" i="3" s="1"/>
  <c r="K435" i="3"/>
  <c r="J435" i="3"/>
  <c r="L434" i="3"/>
  <c r="K434" i="3"/>
  <c r="J434" i="3"/>
  <c r="L433" i="3"/>
  <c r="K433" i="3"/>
  <c r="J433" i="3"/>
  <c r="L432" i="3"/>
  <c r="M432" i="3" s="1"/>
  <c r="K432" i="3"/>
  <c r="J432" i="3"/>
  <c r="L431" i="3"/>
  <c r="K431" i="3"/>
  <c r="J431" i="3"/>
  <c r="L430" i="3"/>
  <c r="K430" i="3"/>
  <c r="J430" i="3"/>
  <c r="L429" i="3"/>
  <c r="M429" i="3" s="1"/>
  <c r="K429" i="3"/>
  <c r="J429" i="3"/>
  <c r="L428" i="3"/>
  <c r="M428" i="3" s="1"/>
  <c r="K428" i="3"/>
  <c r="J428" i="3"/>
  <c r="L427" i="3"/>
  <c r="M427" i="3" s="1"/>
  <c r="K427" i="3"/>
  <c r="J427" i="3"/>
  <c r="L426" i="3"/>
  <c r="K426" i="3"/>
  <c r="J426" i="3"/>
  <c r="M426" i="3" s="1"/>
  <c r="L425" i="3"/>
  <c r="K425" i="3"/>
  <c r="J425" i="3"/>
  <c r="L424" i="3"/>
  <c r="K424" i="3"/>
  <c r="J424" i="3"/>
  <c r="L423" i="3"/>
  <c r="M423" i="3" s="1"/>
  <c r="K423" i="3"/>
  <c r="J423" i="3"/>
  <c r="L422" i="3"/>
  <c r="M422" i="3" s="1"/>
  <c r="K422" i="3"/>
  <c r="J422" i="3"/>
  <c r="L421" i="3"/>
  <c r="M421" i="3" s="1"/>
  <c r="K421" i="3"/>
  <c r="J421" i="3"/>
  <c r="L420" i="3"/>
  <c r="M420" i="3" s="1"/>
  <c r="K420" i="3"/>
  <c r="J420" i="3"/>
  <c r="L419" i="3"/>
  <c r="M419" i="3" s="1"/>
  <c r="K419" i="3"/>
  <c r="J419" i="3"/>
  <c r="L418" i="3"/>
  <c r="M418" i="3" s="1"/>
  <c r="K418" i="3"/>
  <c r="J418" i="3"/>
  <c r="M417" i="3"/>
  <c r="L417" i="3"/>
  <c r="K417" i="3"/>
  <c r="J417" i="3"/>
  <c r="L416" i="3"/>
  <c r="K416" i="3"/>
  <c r="J416" i="3"/>
  <c r="L415" i="3"/>
  <c r="K415" i="3"/>
  <c r="J415" i="3"/>
  <c r="L414" i="3"/>
  <c r="M414" i="3" s="1"/>
  <c r="K414" i="3"/>
  <c r="J414" i="3"/>
  <c r="L413" i="3"/>
  <c r="M413" i="3" s="1"/>
  <c r="K413" i="3"/>
  <c r="J413" i="3"/>
  <c r="L412" i="3"/>
  <c r="K412" i="3"/>
  <c r="J412" i="3"/>
  <c r="L411" i="3"/>
  <c r="M411" i="3" s="1"/>
  <c r="K411" i="3"/>
  <c r="J411" i="3"/>
  <c r="L410" i="3"/>
  <c r="M410" i="3" s="1"/>
  <c r="K410" i="3"/>
  <c r="J410" i="3"/>
  <c r="L409" i="3"/>
  <c r="K409" i="3"/>
  <c r="J409" i="3"/>
  <c r="L408" i="3"/>
  <c r="K408" i="3"/>
  <c r="J408" i="3"/>
  <c r="M408" i="3" s="1"/>
  <c r="L407" i="3"/>
  <c r="K407" i="3"/>
  <c r="J407" i="3"/>
  <c r="L406" i="3"/>
  <c r="K406" i="3"/>
  <c r="J406" i="3"/>
  <c r="L405" i="3"/>
  <c r="M405" i="3" s="1"/>
  <c r="K405" i="3"/>
  <c r="J405" i="3"/>
  <c r="L404" i="3"/>
  <c r="M404" i="3" s="1"/>
  <c r="K404" i="3"/>
  <c r="J404" i="3"/>
  <c r="L403" i="3"/>
  <c r="K403" i="3"/>
  <c r="J403" i="3"/>
  <c r="L402" i="3"/>
  <c r="K402" i="3"/>
  <c r="J402" i="3"/>
  <c r="L401" i="3"/>
  <c r="M401" i="3" s="1"/>
  <c r="K401" i="3"/>
  <c r="J401" i="3"/>
  <c r="L400" i="3"/>
  <c r="M400" i="3" s="1"/>
  <c r="K400" i="3"/>
  <c r="J400" i="3"/>
  <c r="M399" i="3"/>
  <c r="L399" i="3"/>
  <c r="K399" i="3"/>
  <c r="J399" i="3"/>
  <c r="L398" i="3"/>
  <c r="K398" i="3"/>
  <c r="J398" i="3"/>
  <c r="L397" i="3"/>
  <c r="K397" i="3"/>
  <c r="J397" i="3"/>
  <c r="L396" i="3"/>
  <c r="M396" i="3" s="1"/>
  <c r="K396" i="3"/>
  <c r="J396" i="3"/>
  <c r="L395" i="3"/>
  <c r="M395" i="3" s="1"/>
  <c r="K395" i="3"/>
  <c r="J395" i="3"/>
  <c r="L394" i="3"/>
  <c r="K394" i="3"/>
  <c r="J394" i="3"/>
  <c r="L393" i="3"/>
  <c r="M393" i="3" s="1"/>
  <c r="K393" i="3"/>
  <c r="J393" i="3"/>
  <c r="L392" i="3"/>
  <c r="M392" i="3" s="1"/>
  <c r="K392" i="3"/>
  <c r="J392" i="3"/>
  <c r="L391" i="3"/>
  <c r="K391" i="3"/>
  <c r="J391" i="3"/>
  <c r="L390" i="3"/>
  <c r="K390" i="3"/>
  <c r="J390" i="3"/>
  <c r="L389" i="3"/>
  <c r="K389" i="3"/>
  <c r="J389" i="3"/>
  <c r="L388" i="3"/>
  <c r="K388" i="3"/>
  <c r="J388" i="3"/>
  <c r="L387" i="3"/>
  <c r="M387" i="3" s="1"/>
  <c r="K387" i="3"/>
  <c r="J387" i="3"/>
  <c r="L386" i="3"/>
  <c r="M386" i="3" s="1"/>
  <c r="K386" i="3"/>
  <c r="J386" i="3"/>
  <c r="L385" i="3"/>
  <c r="K385" i="3"/>
  <c r="J385" i="3"/>
  <c r="L384" i="3"/>
  <c r="M384" i="3" s="1"/>
  <c r="K384" i="3"/>
  <c r="J384" i="3"/>
  <c r="L383" i="3"/>
  <c r="K383" i="3"/>
  <c r="J383" i="3"/>
  <c r="L382" i="3"/>
  <c r="M382" i="3" s="1"/>
  <c r="K382" i="3"/>
  <c r="J382" i="3"/>
  <c r="L381" i="3"/>
  <c r="M381" i="3" s="1"/>
  <c r="K381" i="3"/>
  <c r="J381" i="3"/>
  <c r="L380" i="3"/>
  <c r="K380" i="3"/>
  <c r="J380" i="3"/>
  <c r="L379" i="3"/>
  <c r="K379" i="3"/>
  <c r="J379" i="3"/>
  <c r="L378" i="3"/>
  <c r="M378" i="3" s="1"/>
  <c r="K378" i="3"/>
  <c r="J378" i="3"/>
  <c r="L377" i="3"/>
  <c r="M377" i="3" s="1"/>
  <c r="K377" i="3"/>
  <c r="J377" i="3"/>
  <c r="L376" i="3"/>
  <c r="K376" i="3"/>
  <c r="J376" i="3"/>
  <c r="L375" i="3"/>
  <c r="M375" i="3" s="1"/>
  <c r="K375" i="3"/>
  <c r="J375" i="3"/>
  <c r="L374" i="3"/>
  <c r="M374" i="3" s="1"/>
  <c r="K374" i="3"/>
  <c r="J374" i="3"/>
  <c r="L373" i="3"/>
  <c r="K373" i="3"/>
  <c r="J373" i="3"/>
  <c r="L372" i="3"/>
  <c r="K372" i="3"/>
  <c r="J372" i="3"/>
  <c r="L371" i="3"/>
  <c r="K371" i="3"/>
  <c r="J371" i="3"/>
  <c r="L370" i="3"/>
  <c r="K370" i="3"/>
  <c r="J370" i="3"/>
  <c r="L369" i="3"/>
  <c r="M369" i="3" s="1"/>
  <c r="K369" i="3"/>
  <c r="J369" i="3"/>
  <c r="L368" i="3"/>
  <c r="M368" i="3" s="1"/>
  <c r="K368" i="3"/>
  <c r="J368" i="3"/>
  <c r="L367" i="3"/>
  <c r="K367" i="3"/>
  <c r="J367" i="3"/>
  <c r="L366" i="3"/>
  <c r="M366" i="3" s="1"/>
  <c r="K366" i="3"/>
  <c r="J366" i="3"/>
  <c r="L365" i="3"/>
  <c r="K365" i="3"/>
  <c r="J365" i="3"/>
  <c r="L364" i="3"/>
  <c r="M364" i="3" s="1"/>
  <c r="K364" i="3"/>
  <c r="J364" i="3"/>
  <c r="L363" i="3"/>
  <c r="M363" i="3" s="1"/>
  <c r="K363" i="3"/>
  <c r="J363" i="3"/>
  <c r="L362" i="3"/>
  <c r="K362" i="3"/>
  <c r="J362" i="3"/>
  <c r="L361" i="3"/>
  <c r="K361" i="3"/>
  <c r="J361" i="3"/>
  <c r="L360" i="3"/>
  <c r="M360" i="3" s="1"/>
  <c r="K360" i="3"/>
  <c r="J360" i="3"/>
  <c r="L359" i="3"/>
  <c r="M359" i="3" s="1"/>
  <c r="K359" i="3"/>
  <c r="J359" i="3"/>
  <c r="L358" i="3"/>
  <c r="K358" i="3"/>
  <c r="J358" i="3"/>
  <c r="L357" i="3"/>
  <c r="M357" i="3" s="1"/>
  <c r="K357" i="3"/>
  <c r="J357" i="3"/>
  <c r="L356" i="3"/>
  <c r="M356" i="3" s="1"/>
  <c r="K356" i="3"/>
  <c r="J356" i="3"/>
  <c r="L355" i="3"/>
  <c r="K355" i="3"/>
  <c r="J355" i="3"/>
  <c r="L354" i="3"/>
  <c r="K354" i="3"/>
  <c r="J354" i="3"/>
  <c r="L353" i="3"/>
  <c r="K353" i="3"/>
  <c r="J353" i="3"/>
  <c r="L352" i="3"/>
  <c r="M352" i="3" s="1"/>
  <c r="K352" i="3"/>
  <c r="J352" i="3"/>
  <c r="L351" i="3"/>
  <c r="M351" i="3" s="1"/>
  <c r="K351" i="3"/>
  <c r="J351" i="3"/>
  <c r="L350" i="3"/>
  <c r="M350" i="3" s="1"/>
  <c r="K350" i="3"/>
  <c r="J350" i="3"/>
  <c r="L349" i="3"/>
  <c r="K349" i="3"/>
  <c r="J349" i="3"/>
  <c r="L348" i="3"/>
  <c r="M348" i="3" s="1"/>
  <c r="K348" i="3"/>
  <c r="J348" i="3"/>
  <c r="L347" i="3"/>
  <c r="K347" i="3"/>
  <c r="J347" i="3"/>
  <c r="L346" i="3"/>
  <c r="M346" i="3" s="1"/>
  <c r="K346" i="3"/>
  <c r="J346" i="3"/>
  <c r="M345" i="3"/>
  <c r="L345" i="3"/>
  <c r="K345" i="3"/>
  <c r="J345" i="3"/>
  <c r="L344" i="3"/>
  <c r="K344" i="3"/>
  <c r="J344" i="3"/>
  <c r="L343" i="3"/>
  <c r="K343" i="3"/>
  <c r="J343" i="3"/>
  <c r="L342" i="3"/>
  <c r="M342" i="3" s="1"/>
  <c r="K342" i="3"/>
  <c r="J342" i="3"/>
  <c r="L341" i="3"/>
  <c r="M341" i="3" s="1"/>
  <c r="K341" i="3"/>
  <c r="J341" i="3"/>
  <c r="L340" i="3"/>
  <c r="K340" i="3"/>
  <c r="J340" i="3"/>
  <c r="L339" i="3"/>
  <c r="M339" i="3" s="1"/>
  <c r="K339" i="3"/>
  <c r="J339" i="3"/>
  <c r="L338" i="3"/>
  <c r="M338" i="3" s="1"/>
  <c r="K338" i="3"/>
  <c r="J338" i="3"/>
  <c r="L337" i="3"/>
  <c r="K337" i="3"/>
  <c r="J337" i="3"/>
  <c r="L336" i="3"/>
  <c r="K336" i="3"/>
  <c r="J336" i="3"/>
  <c r="L335" i="3"/>
  <c r="K335" i="3"/>
  <c r="J335" i="3"/>
  <c r="L334" i="3"/>
  <c r="M334" i="3" s="1"/>
  <c r="K334" i="3"/>
  <c r="J334" i="3"/>
  <c r="L333" i="3"/>
  <c r="M333" i="3" s="1"/>
  <c r="K333" i="3"/>
  <c r="J333" i="3"/>
  <c r="L332" i="3"/>
  <c r="M332" i="3" s="1"/>
  <c r="K332" i="3"/>
  <c r="J332" i="3"/>
  <c r="L331" i="3"/>
  <c r="M331" i="3" s="1"/>
  <c r="K331" i="3"/>
  <c r="J331" i="3"/>
  <c r="L330" i="3"/>
  <c r="K330" i="3"/>
  <c r="J330" i="3"/>
  <c r="L329" i="3"/>
  <c r="M329" i="3" s="1"/>
  <c r="K329" i="3"/>
  <c r="J329" i="3"/>
  <c r="L328" i="3"/>
  <c r="K328" i="3"/>
  <c r="J328" i="3"/>
  <c r="L327" i="3"/>
  <c r="M327" i="3" s="1"/>
  <c r="K327" i="3"/>
  <c r="J327" i="3"/>
  <c r="L326" i="3"/>
  <c r="K326" i="3"/>
  <c r="J326" i="3"/>
  <c r="L325" i="3"/>
  <c r="K325" i="3"/>
  <c r="J325" i="3"/>
  <c r="L324" i="3"/>
  <c r="M324" i="3" s="1"/>
  <c r="K324" i="3"/>
  <c r="J324" i="3"/>
  <c r="L323" i="3"/>
  <c r="M323" i="3" s="1"/>
  <c r="K323" i="3"/>
  <c r="J323" i="3"/>
  <c r="L322" i="3"/>
  <c r="M322" i="3" s="1"/>
  <c r="K322" i="3"/>
  <c r="J322" i="3"/>
  <c r="M321" i="3"/>
  <c r="L321" i="3"/>
  <c r="K321" i="3"/>
  <c r="J321" i="3"/>
  <c r="L320" i="3"/>
  <c r="M320" i="3" s="1"/>
  <c r="K320" i="3"/>
  <c r="J320" i="3"/>
  <c r="L319" i="3"/>
  <c r="M319" i="3" s="1"/>
  <c r="K319" i="3"/>
  <c r="J319" i="3"/>
  <c r="L318" i="3"/>
  <c r="M318" i="3" s="1"/>
  <c r="K318" i="3"/>
  <c r="J318" i="3"/>
  <c r="L317" i="3"/>
  <c r="K317" i="3"/>
  <c r="J317" i="3"/>
  <c r="L316" i="3"/>
  <c r="K316" i="3"/>
  <c r="J316" i="3"/>
  <c r="L315" i="3"/>
  <c r="M315" i="3" s="1"/>
  <c r="K315" i="3"/>
  <c r="J315" i="3"/>
  <c r="L314" i="3"/>
  <c r="M314" i="3" s="1"/>
  <c r="K314" i="3"/>
  <c r="J314" i="3"/>
  <c r="L313" i="3"/>
  <c r="M313" i="3" s="1"/>
  <c r="K313" i="3"/>
  <c r="J313" i="3"/>
  <c r="M312" i="3"/>
  <c r="L312" i="3"/>
  <c r="K312" i="3"/>
  <c r="J312" i="3"/>
  <c r="L311" i="3"/>
  <c r="M311" i="3" s="1"/>
  <c r="K311" i="3"/>
  <c r="J311" i="3"/>
  <c r="L310" i="3"/>
  <c r="K310" i="3"/>
  <c r="J310" i="3"/>
  <c r="L309" i="3"/>
  <c r="M309" i="3" s="1"/>
  <c r="K309" i="3"/>
  <c r="J309" i="3"/>
  <c r="L308" i="3"/>
  <c r="M308" i="3" s="1"/>
  <c r="K308" i="3"/>
  <c r="J308" i="3"/>
  <c r="L307" i="3"/>
  <c r="K307" i="3"/>
  <c r="J307" i="3"/>
  <c r="L306" i="3"/>
  <c r="M306" i="3" s="1"/>
  <c r="K306" i="3"/>
  <c r="J306" i="3"/>
  <c r="L305" i="3"/>
  <c r="M305" i="3" s="1"/>
  <c r="K305" i="3"/>
  <c r="J305" i="3"/>
  <c r="L304" i="3"/>
  <c r="K304" i="3"/>
  <c r="J304" i="3"/>
  <c r="L303" i="3"/>
  <c r="K303" i="3"/>
  <c r="J303" i="3"/>
  <c r="M303" i="3" s="1"/>
  <c r="L302" i="3"/>
  <c r="M302" i="3" s="1"/>
  <c r="K302" i="3"/>
  <c r="J302" i="3"/>
  <c r="L301" i="3"/>
  <c r="M301" i="3" s="1"/>
  <c r="K301" i="3"/>
  <c r="J301" i="3"/>
  <c r="L300" i="3"/>
  <c r="M300" i="3" s="1"/>
  <c r="K300" i="3"/>
  <c r="J300" i="3"/>
  <c r="L299" i="3"/>
  <c r="K299" i="3"/>
  <c r="J299" i="3"/>
  <c r="M299" i="3" s="1"/>
  <c r="L298" i="3"/>
  <c r="M298" i="3" s="1"/>
  <c r="K298" i="3"/>
  <c r="J298" i="3"/>
  <c r="L297" i="3"/>
  <c r="M297" i="3" s="1"/>
  <c r="K297" i="3"/>
  <c r="J297" i="3"/>
  <c r="L296" i="3"/>
  <c r="M296" i="3" s="1"/>
  <c r="K296" i="3"/>
  <c r="J296" i="3"/>
  <c r="L295" i="3"/>
  <c r="M295" i="3" s="1"/>
  <c r="K295" i="3"/>
  <c r="J295" i="3"/>
  <c r="L294" i="3"/>
  <c r="K294" i="3"/>
  <c r="J294" i="3"/>
  <c r="L293" i="3"/>
  <c r="M293" i="3" s="1"/>
  <c r="K293" i="3"/>
  <c r="J293" i="3"/>
  <c r="L292" i="3"/>
  <c r="K292" i="3"/>
  <c r="J292" i="3"/>
  <c r="L291" i="3"/>
  <c r="K291" i="3"/>
  <c r="J291" i="3"/>
  <c r="M291" i="3" s="1"/>
  <c r="L290" i="3"/>
  <c r="K290" i="3"/>
  <c r="J290" i="3"/>
  <c r="L289" i="3"/>
  <c r="K289" i="3"/>
  <c r="J289" i="3"/>
  <c r="M288" i="3"/>
  <c r="L288" i="3"/>
  <c r="K288" i="3"/>
  <c r="J288" i="3"/>
  <c r="L287" i="3"/>
  <c r="M287" i="3" s="1"/>
  <c r="K287" i="3"/>
  <c r="J287" i="3"/>
  <c r="L286" i="3"/>
  <c r="M286" i="3" s="1"/>
  <c r="K286" i="3"/>
  <c r="J286" i="3"/>
  <c r="M285" i="3"/>
  <c r="L285" i="3"/>
  <c r="K285" i="3"/>
  <c r="J285" i="3"/>
  <c r="L284" i="3"/>
  <c r="M284" i="3" s="1"/>
  <c r="K284" i="3"/>
  <c r="J284" i="3"/>
  <c r="L283" i="3"/>
  <c r="M283" i="3" s="1"/>
  <c r="K283" i="3"/>
  <c r="J283" i="3"/>
  <c r="L282" i="3"/>
  <c r="M282" i="3" s="1"/>
  <c r="K282" i="3"/>
  <c r="J282" i="3"/>
  <c r="L281" i="3"/>
  <c r="K281" i="3"/>
  <c r="J281" i="3"/>
  <c r="L280" i="3"/>
  <c r="C23" i="2" s="1"/>
  <c r="K280" i="3"/>
  <c r="J280" i="3"/>
  <c r="L279" i="3"/>
  <c r="M279" i="3" s="1"/>
  <c r="K279" i="3"/>
  <c r="J279" i="3"/>
  <c r="L278" i="3"/>
  <c r="K278" i="3"/>
  <c r="J278" i="3"/>
  <c r="M278" i="3" s="1"/>
  <c r="L277" i="3"/>
  <c r="K277" i="3"/>
  <c r="J277" i="3"/>
  <c r="M276" i="3"/>
  <c r="L276" i="3"/>
  <c r="K276" i="3"/>
  <c r="J276" i="3"/>
  <c r="L275" i="3"/>
  <c r="M275" i="3" s="1"/>
  <c r="K275" i="3"/>
  <c r="J275" i="3"/>
  <c r="L274" i="3"/>
  <c r="M274" i="3" s="1"/>
  <c r="K274" i="3"/>
  <c r="J274" i="3"/>
  <c r="L273" i="3"/>
  <c r="M273" i="3" s="1"/>
  <c r="K273" i="3"/>
  <c r="J273" i="3"/>
  <c r="L272" i="3"/>
  <c r="M272" i="3" s="1"/>
  <c r="K272" i="3"/>
  <c r="J272" i="3"/>
  <c r="L271" i="3"/>
  <c r="K271" i="3"/>
  <c r="J271" i="3"/>
  <c r="L270" i="3"/>
  <c r="M270" i="3" s="1"/>
  <c r="K270" i="3"/>
  <c r="J270" i="3"/>
  <c r="L269" i="3"/>
  <c r="M269" i="3" s="1"/>
  <c r="K269" i="3"/>
  <c r="J269" i="3"/>
  <c r="L268" i="3"/>
  <c r="K268" i="3"/>
  <c r="J268" i="3"/>
  <c r="L267" i="3"/>
  <c r="K267" i="3"/>
  <c r="J267" i="3"/>
  <c r="M267" i="3" s="1"/>
  <c r="L266" i="3"/>
  <c r="M266" i="3" s="1"/>
  <c r="K266" i="3"/>
  <c r="J266" i="3"/>
  <c r="L265" i="3"/>
  <c r="M265" i="3" s="1"/>
  <c r="K265" i="3"/>
  <c r="J265" i="3"/>
  <c r="L264" i="3"/>
  <c r="K264" i="3"/>
  <c r="J264" i="3"/>
  <c r="L263" i="3"/>
  <c r="K263" i="3"/>
  <c r="J263" i="3"/>
  <c r="M263" i="3" s="1"/>
  <c r="L262" i="3"/>
  <c r="M262" i="3" s="1"/>
  <c r="K262" i="3"/>
  <c r="J262" i="3"/>
  <c r="L261" i="3"/>
  <c r="M261" i="3" s="1"/>
  <c r="K261" i="3"/>
  <c r="J261" i="3"/>
  <c r="L260" i="3"/>
  <c r="M260" i="3" s="1"/>
  <c r="K260" i="3"/>
  <c r="J260" i="3"/>
  <c r="L259" i="3"/>
  <c r="M259" i="3" s="1"/>
  <c r="K259" i="3"/>
  <c r="J259" i="3"/>
  <c r="L258" i="3"/>
  <c r="K258" i="3"/>
  <c r="J258" i="3"/>
  <c r="L257" i="3"/>
  <c r="M257" i="3" s="1"/>
  <c r="K257" i="3"/>
  <c r="J257" i="3"/>
  <c r="L256" i="3"/>
  <c r="K256" i="3"/>
  <c r="J256" i="3"/>
  <c r="L255" i="3"/>
  <c r="K255" i="3"/>
  <c r="J255" i="3"/>
  <c r="M254" i="3"/>
  <c r="L254" i="3"/>
  <c r="K254" i="3"/>
  <c r="J254" i="3"/>
  <c r="L253" i="3"/>
  <c r="K253" i="3"/>
  <c r="J253" i="3"/>
  <c r="L252" i="3"/>
  <c r="M252" i="3" s="1"/>
  <c r="K252" i="3"/>
  <c r="J252" i="3"/>
  <c r="L251" i="3"/>
  <c r="K251" i="3"/>
  <c r="J251" i="3"/>
  <c r="L250" i="3"/>
  <c r="M250" i="3" s="1"/>
  <c r="K250" i="3"/>
  <c r="J250" i="3"/>
  <c r="M249" i="3"/>
  <c r="L249" i="3"/>
  <c r="K249" i="3"/>
  <c r="J249" i="3"/>
  <c r="L248" i="3"/>
  <c r="M248" i="3" s="1"/>
  <c r="K248" i="3"/>
  <c r="J248" i="3"/>
  <c r="L247" i="3"/>
  <c r="M247" i="3" s="1"/>
  <c r="K247" i="3"/>
  <c r="J247" i="3"/>
  <c r="L246" i="3"/>
  <c r="M246" i="3" s="1"/>
  <c r="K246" i="3"/>
  <c r="J246" i="3"/>
  <c r="L245" i="3"/>
  <c r="K245" i="3"/>
  <c r="J245" i="3"/>
  <c r="L244" i="3"/>
  <c r="M244" i="3" s="1"/>
  <c r="K244" i="3"/>
  <c r="J244" i="3"/>
  <c r="L243" i="3"/>
  <c r="M243" i="3" s="1"/>
  <c r="K243" i="3"/>
  <c r="J243" i="3"/>
  <c r="L242" i="3"/>
  <c r="K242" i="3"/>
  <c r="J242" i="3"/>
  <c r="L241" i="3"/>
  <c r="M241" i="3" s="1"/>
  <c r="K241" i="3"/>
  <c r="J241" i="3"/>
  <c r="L240" i="3"/>
  <c r="K240" i="3"/>
  <c r="J240" i="3"/>
  <c r="L239" i="3"/>
  <c r="K239" i="3"/>
  <c r="J239" i="3"/>
  <c r="L238" i="3"/>
  <c r="M238" i="3" s="1"/>
  <c r="K238" i="3"/>
  <c r="J238" i="3"/>
  <c r="L237" i="3"/>
  <c r="K237" i="3"/>
  <c r="J237" i="3"/>
  <c r="L236" i="3"/>
  <c r="K236" i="3"/>
  <c r="J236" i="3"/>
  <c r="L235" i="3"/>
  <c r="M235" i="3" s="1"/>
  <c r="K235" i="3"/>
  <c r="J235" i="3"/>
  <c r="L234" i="3"/>
  <c r="K234" i="3"/>
  <c r="J234" i="3"/>
  <c r="L233" i="3"/>
  <c r="K233" i="3"/>
  <c r="J233" i="3"/>
  <c r="L232" i="3"/>
  <c r="M232" i="3" s="1"/>
  <c r="K232" i="3"/>
  <c r="J232" i="3"/>
  <c r="L231" i="3"/>
  <c r="M231" i="3" s="1"/>
  <c r="K231" i="3"/>
  <c r="J231" i="3"/>
  <c r="L230" i="3"/>
  <c r="K230" i="3"/>
  <c r="J230" i="3"/>
  <c r="L229" i="3"/>
  <c r="M229" i="3" s="1"/>
  <c r="K229" i="3"/>
  <c r="J229" i="3"/>
  <c r="L228" i="3"/>
  <c r="K228" i="3"/>
  <c r="J228" i="3"/>
  <c r="L227" i="3"/>
  <c r="K227" i="3"/>
  <c r="J227" i="3"/>
  <c r="L226" i="3"/>
  <c r="M226" i="3" s="1"/>
  <c r="K226" i="3"/>
  <c r="J226" i="3"/>
  <c r="L225" i="3"/>
  <c r="K225" i="3"/>
  <c r="J225" i="3"/>
  <c r="L224" i="3"/>
  <c r="K224" i="3"/>
  <c r="J224" i="3"/>
  <c r="L223" i="3"/>
  <c r="M223" i="3" s="1"/>
  <c r="K223" i="3"/>
  <c r="J223" i="3"/>
  <c r="L222" i="3"/>
  <c r="K222" i="3"/>
  <c r="J222" i="3"/>
  <c r="L221" i="3"/>
  <c r="K221" i="3"/>
  <c r="J221" i="3"/>
  <c r="L220" i="3"/>
  <c r="M220" i="3" s="1"/>
  <c r="K220" i="3"/>
  <c r="J220" i="3"/>
  <c r="L219" i="3"/>
  <c r="M219" i="3" s="1"/>
  <c r="K219" i="3"/>
  <c r="J219" i="3"/>
  <c r="L218" i="3"/>
  <c r="K218" i="3"/>
  <c r="J218" i="3"/>
  <c r="L217" i="3"/>
  <c r="M217" i="3" s="1"/>
  <c r="K217" i="3"/>
  <c r="J217" i="3"/>
  <c r="L216" i="3"/>
  <c r="K216" i="3"/>
  <c r="J216" i="3"/>
  <c r="L215" i="3"/>
  <c r="K215" i="3"/>
  <c r="J215" i="3"/>
  <c r="L214" i="3"/>
  <c r="M214" i="3" s="1"/>
  <c r="K214" i="3"/>
  <c r="J214" i="3"/>
  <c r="L213" i="3"/>
  <c r="K213" i="3"/>
  <c r="J213" i="3"/>
  <c r="L212" i="3"/>
  <c r="K212" i="3"/>
  <c r="J212" i="3"/>
  <c r="L211" i="3"/>
  <c r="M211" i="3" s="1"/>
  <c r="K211" i="3"/>
  <c r="J211" i="3"/>
  <c r="L210" i="3"/>
  <c r="K210" i="3"/>
  <c r="J210" i="3"/>
  <c r="L209" i="3"/>
  <c r="K209" i="3"/>
  <c r="J209" i="3"/>
  <c r="L208" i="3"/>
  <c r="M208" i="3" s="1"/>
  <c r="K208" i="3"/>
  <c r="J208" i="3"/>
  <c r="L207" i="3"/>
  <c r="K207" i="3"/>
  <c r="J207" i="3"/>
  <c r="L206" i="3"/>
  <c r="K206" i="3"/>
  <c r="J206" i="3"/>
  <c r="L205" i="3"/>
  <c r="M205" i="3" s="1"/>
  <c r="K205" i="3"/>
  <c r="J205" i="3"/>
  <c r="L204" i="3"/>
  <c r="M204" i="3" s="1"/>
  <c r="K204" i="3"/>
  <c r="J204" i="3"/>
  <c r="L203" i="3"/>
  <c r="M203" i="3" s="1"/>
  <c r="K203" i="3"/>
  <c r="J203" i="3"/>
  <c r="L202" i="3"/>
  <c r="K202" i="3"/>
  <c r="J202" i="3"/>
  <c r="L201" i="3"/>
  <c r="M201" i="3" s="1"/>
  <c r="K201" i="3"/>
  <c r="J201" i="3"/>
  <c r="L200" i="3"/>
  <c r="K200" i="3"/>
  <c r="J200" i="3"/>
  <c r="L199" i="3"/>
  <c r="M199" i="3" s="1"/>
  <c r="K199" i="3"/>
  <c r="J199" i="3"/>
  <c r="L198" i="3"/>
  <c r="K198" i="3"/>
  <c r="J198" i="3"/>
  <c r="L197" i="3"/>
  <c r="M197" i="3" s="1"/>
  <c r="K197" i="3"/>
  <c r="J197" i="3"/>
  <c r="L196" i="3"/>
  <c r="M196" i="3" s="1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M190" i="3" s="1"/>
  <c r="K190" i="3"/>
  <c r="J190" i="3"/>
  <c r="L189" i="3"/>
  <c r="K189" i="3"/>
  <c r="J189" i="3"/>
  <c r="L188" i="3"/>
  <c r="K188" i="3"/>
  <c r="J188" i="3"/>
  <c r="L187" i="3"/>
  <c r="M187" i="3" s="1"/>
  <c r="K187" i="3"/>
  <c r="J187" i="3"/>
  <c r="L186" i="3"/>
  <c r="M186" i="3" s="1"/>
  <c r="K186" i="3"/>
  <c r="J186" i="3"/>
  <c r="L185" i="3"/>
  <c r="M185" i="3" s="1"/>
  <c r="K185" i="3"/>
  <c r="J185" i="3"/>
  <c r="L184" i="3"/>
  <c r="K184" i="3"/>
  <c r="J184" i="3"/>
  <c r="L183" i="3"/>
  <c r="K183" i="3"/>
  <c r="J183" i="3"/>
  <c r="L182" i="3"/>
  <c r="K182" i="3"/>
  <c r="J182" i="3"/>
  <c r="L181" i="3"/>
  <c r="M181" i="3" s="1"/>
  <c r="K181" i="3"/>
  <c r="J181" i="3"/>
  <c r="L180" i="3"/>
  <c r="K180" i="3"/>
  <c r="J180" i="3"/>
  <c r="L179" i="3"/>
  <c r="M179" i="3" s="1"/>
  <c r="K179" i="3"/>
  <c r="J179" i="3"/>
  <c r="L178" i="3"/>
  <c r="M178" i="3" s="1"/>
  <c r="K178" i="3"/>
  <c r="J178" i="3"/>
  <c r="L177" i="3"/>
  <c r="K177" i="3"/>
  <c r="J177" i="3"/>
  <c r="L176" i="3"/>
  <c r="M176" i="3" s="1"/>
  <c r="K176" i="3"/>
  <c r="J176" i="3"/>
  <c r="L175" i="3"/>
  <c r="M175" i="3" s="1"/>
  <c r="K175" i="3"/>
  <c r="J175" i="3"/>
  <c r="L174" i="3"/>
  <c r="K174" i="3"/>
  <c r="J174" i="3"/>
  <c r="L173" i="3"/>
  <c r="K173" i="3"/>
  <c r="J173" i="3"/>
  <c r="M172" i="3"/>
  <c r="L172" i="3"/>
  <c r="K172" i="3"/>
  <c r="J172" i="3"/>
  <c r="L171" i="3"/>
  <c r="K171" i="3"/>
  <c r="J171" i="3"/>
  <c r="L170" i="3"/>
  <c r="K170" i="3"/>
  <c r="J170" i="3"/>
  <c r="L169" i="3"/>
  <c r="M169" i="3" s="1"/>
  <c r="K169" i="3"/>
  <c r="J169" i="3"/>
  <c r="L168" i="3"/>
  <c r="M168" i="3" s="1"/>
  <c r="K168" i="3"/>
  <c r="J168" i="3"/>
  <c r="L167" i="3"/>
  <c r="M167" i="3" s="1"/>
  <c r="K167" i="3"/>
  <c r="J167" i="3"/>
  <c r="L166" i="3"/>
  <c r="M166" i="3" s="1"/>
  <c r="K166" i="3"/>
  <c r="J166" i="3"/>
  <c r="L165" i="3"/>
  <c r="K165" i="3"/>
  <c r="J165" i="3"/>
  <c r="L164" i="3"/>
  <c r="M164" i="3" s="1"/>
  <c r="K164" i="3"/>
  <c r="J164" i="3"/>
  <c r="L163" i="3"/>
  <c r="M163" i="3" s="1"/>
  <c r="K163" i="3"/>
  <c r="J163" i="3"/>
  <c r="L162" i="3"/>
  <c r="K162" i="3"/>
  <c r="J162" i="3"/>
  <c r="L161" i="3"/>
  <c r="M161" i="3" s="1"/>
  <c r="K161" i="3"/>
  <c r="J161" i="3"/>
  <c r="L160" i="3"/>
  <c r="K160" i="3"/>
  <c r="J160" i="3"/>
  <c r="L159" i="3"/>
  <c r="M159" i="3" s="1"/>
  <c r="K159" i="3"/>
  <c r="J159" i="3"/>
  <c r="L158" i="3"/>
  <c r="K158" i="3"/>
  <c r="J158" i="3"/>
  <c r="L157" i="3"/>
  <c r="K157" i="3"/>
  <c r="J157" i="3"/>
  <c r="M157" i="3" s="1"/>
  <c r="L156" i="3"/>
  <c r="M156" i="3" s="1"/>
  <c r="K156" i="3"/>
  <c r="J156" i="3"/>
  <c r="L155" i="3"/>
  <c r="M155" i="3" s="1"/>
  <c r="K155" i="3"/>
  <c r="J155" i="3"/>
  <c r="L154" i="3"/>
  <c r="M154" i="3" s="1"/>
  <c r="K154" i="3"/>
  <c r="J154" i="3"/>
  <c r="L153" i="3"/>
  <c r="K153" i="3"/>
  <c r="J153" i="3"/>
  <c r="L152" i="3"/>
  <c r="M152" i="3" s="1"/>
  <c r="K152" i="3"/>
  <c r="J152" i="3"/>
  <c r="L151" i="3"/>
  <c r="M151" i="3" s="1"/>
  <c r="K151" i="3"/>
  <c r="J151" i="3"/>
  <c r="L150" i="3"/>
  <c r="K150" i="3"/>
  <c r="J150" i="3"/>
  <c r="L149" i="3"/>
  <c r="M149" i="3" s="1"/>
  <c r="K149" i="3"/>
  <c r="J149" i="3"/>
  <c r="L148" i="3"/>
  <c r="M148" i="3" s="1"/>
  <c r="K148" i="3"/>
  <c r="J148" i="3"/>
  <c r="L147" i="3"/>
  <c r="K147" i="3"/>
  <c r="J147" i="3"/>
  <c r="M146" i="3"/>
  <c r="L146" i="3"/>
  <c r="K146" i="3"/>
  <c r="J146" i="3"/>
  <c r="L145" i="3"/>
  <c r="K145" i="3"/>
  <c r="J145" i="3"/>
  <c r="M145" i="3" s="1"/>
  <c r="L144" i="3"/>
  <c r="K144" i="3"/>
  <c r="J144" i="3"/>
  <c r="L143" i="3"/>
  <c r="M143" i="3" s="1"/>
  <c r="K143" i="3"/>
  <c r="J143" i="3"/>
  <c r="L142" i="3"/>
  <c r="M142" i="3" s="1"/>
  <c r="K142" i="3"/>
  <c r="J142" i="3"/>
  <c r="L141" i="3"/>
  <c r="K141" i="3"/>
  <c r="J141" i="3"/>
  <c r="L140" i="3"/>
  <c r="M140" i="3" s="1"/>
  <c r="K140" i="3"/>
  <c r="J140" i="3"/>
  <c r="L139" i="3"/>
  <c r="M139" i="3" s="1"/>
  <c r="K139" i="3"/>
  <c r="J139" i="3"/>
  <c r="L138" i="3"/>
  <c r="K138" i="3"/>
  <c r="J138" i="3"/>
  <c r="L137" i="3"/>
  <c r="K137" i="3"/>
  <c r="J137" i="3"/>
  <c r="M137" i="3" s="1"/>
  <c r="L136" i="3"/>
  <c r="M136" i="3" s="1"/>
  <c r="K136" i="3"/>
  <c r="J136" i="3"/>
  <c r="L135" i="3"/>
  <c r="K135" i="3"/>
  <c r="J135" i="3"/>
  <c r="L134" i="3"/>
  <c r="M134" i="3" s="1"/>
  <c r="K134" i="3"/>
  <c r="J134" i="3"/>
  <c r="L133" i="3"/>
  <c r="M133" i="3" s="1"/>
  <c r="K133" i="3"/>
  <c r="J133" i="3"/>
  <c r="L132" i="3"/>
  <c r="M132" i="3" s="1"/>
  <c r="K132" i="3"/>
  <c r="J132" i="3"/>
  <c r="L131" i="3"/>
  <c r="M131" i="3" s="1"/>
  <c r="K131" i="3"/>
  <c r="J131" i="3"/>
  <c r="L130" i="3"/>
  <c r="M130" i="3" s="1"/>
  <c r="K130" i="3"/>
  <c r="J130" i="3"/>
  <c r="L129" i="3"/>
  <c r="K129" i="3"/>
  <c r="J129" i="3"/>
  <c r="L128" i="3"/>
  <c r="M128" i="3" s="1"/>
  <c r="K128" i="3"/>
  <c r="J128" i="3"/>
  <c r="L127" i="3"/>
  <c r="M127" i="3" s="1"/>
  <c r="K127" i="3"/>
  <c r="J127" i="3"/>
  <c r="L126" i="3"/>
  <c r="K126" i="3"/>
  <c r="J126" i="3"/>
  <c r="L125" i="3"/>
  <c r="M125" i="3" s="1"/>
  <c r="K125" i="3"/>
  <c r="J125" i="3"/>
  <c r="L124" i="3"/>
  <c r="K124" i="3"/>
  <c r="J124" i="3"/>
  <c r="M124" i="3" s="1"/>
  <c r="L123" i="3"/>
  <c r="M123" i="3" s="1"/>
  <c r="K123" i="3"/>
  <c r="J123" i="3"/>
  <c r="L122" i="3"/>
  <c r="M122" i="3" s="1"/>
  <c r="K122" i="3"/>
  <c r="J122" i="3"/>
  <c r="L121" i="3"/>
  <c r="M121" i="3" s="1"/>
  <c r="K121" i="3"/>
  <c r="J121" i="3"/>
  <c r="L120" i="3"/>
  <c r="M120" i="3" s="1"/>
  <c r="K120" i="3"/>
  <c r="J120" i="3"/>
  <c r="L119" i="3"/>
  <c r="M119" i="3" s="1"/>
  <c r="K119" i="3"/>
  <c r="J119" i="3"/>
  <c r="L118" i="3"/>
  <c r="M118" i="3" s="1"/>
  <c r="K118" i="3"/>
  <c r="J118" i="3"/>
  <c r="L117" i="3"/>
  <c r="K117" i="3"/>
  <c r="J117" i="3"/>
  <c r="L116" i="3"/>
  <c r="M116" i="3" s="1"/>
  <c r="K116" i="3"/>
  <c r="J116" i="3"/>
  <c r="L115" i="3"/>
  <c r="M115" i="3" s="1"/>
  <c r="K115" i="3"/>
  <c r="J115" i="3"/>
  <c r="L114" i="3"/>
  <c r="K114" i="3"/>
  <c r="J114" i="3"/>
  <c r="L113" i="3"/>
  <c r="M113" i="3" s="1"/>
  <c r="K113" i="3"/>
  <c r="J113" i="3"/>
  <c r="L112" i="3"/>
  <c r="M112" i="3" s="1"/>
  <c r="K112" i="3"/>
  <c r="J112" i="3"/>
  <c r="L111" i="3"/>
  <c r="K111" i="3"/>
  <c r="J111" i="3"/>
  <c r="L110" i="3"/>
  <c r="M110" i="3" s="1"/>
  <c r="K110" i="3"/>
  <c r="J110" i="3"/>
  <c r="M109" i="3"/>
  <c r="L109" i="3"/>
  <c r="K109" i="3"/>
  <c r="J109" i="3"/>
  <c r="L108" i="3"/>
  <c r="M108" i="3" s="1"/>
  <c r="K108" i="3"/>
  <c r="J108" i="3"/>
  <c r="L107" i="3"/>
  <c r="M107" i="3" s="1"/>
  <c r="K107" i="3"/>
  <c r="J107" i="3"/>
  <c r="L106" i="3"/>
  <c r="M106" i="3" s="1"/>
  <c r="K106" i="3"/>
  <c r="J106" i="3"/>
  <c r="L105" i="3"/>
  <c r="K105" i="3"/>
  <c r="J105" i="3"/>
  <c r="L104" i="3"/>
  <c r="M104" i="3" s="1"/>
  <c r="K104" i="3"/>
  <c r="J104" i="3"/>
  <c r="L103" i="3"/>
  <c r="M103" i="3" s="1"/>
  <c r="K103" i="3"/>
  <c r="J103" i="3"/>
  <c r="L102" i="3"/>
  <c r="K102" i="3"/>
  <c r="J102" i="3"/>
  <c r="L101" i="3"/>
  <c r="K101" i="3"/>
  <c r="J101" i="3"/>
  <c r="M101" i="3" s="1"/>
  <c r="M100" i="3"/>
  <c r="L100" i="3"/>
  <c r="K100" i="3"/>
  <c r="J100" i="3"/>
  <c r="L99" i="3"/>
  <c r="K99" i="3"/>
  <c r="J99" i="3"/>
  <c r="L98" i="3"/>
  <c r="K98" i="3"/>
  <c r="J98" i="3"/>
  <c r="L97" i="3"/>
  <c r="M97" i="3" s="1"/>
  <c r="K97" i="3"/>
  <c r="J97" i="3"/>
  <c r="L96" i="3"/>
  <c r="M96" i="3" s="1"/>
  <c r="K96" i="3"/>
  <c r="J96" i="3"/>
  <c r="L95" i="3"/>
  <c r="M95" i="3" s="1"/>
  <c r="K95" i="3"/>
  <c r="J95" i="3"/>
  <c r="L94" i="3"/>
  <c r="M94" i="3" s="1"/>
  <c r="K94" i="3"/>
  <c r="J94" i="3"/>
  <c r="L93" i="3"/>
  <c r="K93" i="3"/>
  <c r="J93" i="3"/>
  <c r="L92" i="3"/>
  <c r="M92" i="3" s="1"/>
  <c r="K92" i="3"/>
  <c r="J92" i="3"/>
  <c r="L91" i="3"/>
  <c r="M91" i="3" s="1"/>
  <c r="K91" i="3"/>
  <c r="J91" i="3"/>
  <c r="L90" i="3"/>
  <c r="K90" i="3"/>
  <c r="J90" i="3"/>
  <c r="L89" i="3"/>
  <c r="M89" i="3" s="1"/>
  <c r="K89" i="3"/>
  <c r="J89" i="3"/>
  <c r="L88" i="3"/>
  <c r="K88" i="3"/>
  <c r="J88" i="3"/>
  <c r="L87" i="3"/>
  <c r="M87" i="3" s="1"/>
  <c r="K87" i="3"/>
  <c r="J87" i="3"/>
  <c r="L86" i="3"/>
  <c r="M86" i="3" s="1"/>
  <c r="K86" i="3"/>
  <c r="J86" i="3"/>
  <c r="L85" i="3"/>
  <c r="M85" i="3" s="1"/>
  <c r="K85" i="3"/>
  <c r="J85" i="3"/>
  <c r="L84" i="3"/>
  <c r="M84" i="3" s="1"/>
  <c r="K84" i="3"/>
  <c r="J84" i="3"/>
  <c r="L83" i="3"/>
  <c r="M83" i="3" s="1"/>
  <c r="K83" i="3"/>
  <c r="J83" i="3"/>
  <c r="L82" i="3"/>
  <c r="M82" i="3" s="1"/>
  <c r="K82" i="3"/>
  <c r="J82" i="3"/>
  <c r="L81" i="3"/>
  <c r="K81" i="3"/>
  <c r="J81" i="3"/>
  <c r="L80" i="3"/>
  <c r="M80" i="3" s="1"/>
  <c r="K80" i="3"/>
  <c r="J80" i="3"/>
  <c r="L79" i="3"/>
  <c r="M79" i="3" s="1"/>
  <c r="K79" i="3"/>
  <c r="J79" i="3"/>
  <c r="L78" i="3"/>
  <c r="K78" i="3"/>
  <c r="J78" i="3"/>
  <c r="M77" i="3"/>
  <c r="L77" i="3"/>
  <c r="K77" i="3"/>
  <c r="J77" i="3"/>
  <c r="L76" i="3"/>
  <c r="M76" i="3" s="1"/>
  <c r="K76" i="3"/>
  <c r="J76" i="3"/>
  <c r="L75" i="3"/>
  <c r="K75" i="3"/>
  <c r="J75" i="3"/>
  <c r="L74" i="3"/>
  <c r="M74" i="3" s="1"/>
  <c r="K74" i="3"/>
  <c r="J74" i="3"/>
  <c r="M73" i="3"/>
  <c r="L73" i="3"/>
  <c r="K73" i="3"/>
  <c r="J73" i="3"/>
  <c r="L72" i="3"/>
  <c r="M72" i="3" s="1"/>
  <c r="K72" i="3"/>
  <c r="J72" i="3"/>
  <c r="L71" i="3"/>
  <c r="M71" i="3" s="1"/>
  <c r="K71" i="3"/>
  <c r="J71" i="3"/>
  <c r="L70" i="3"/>
  <c r="M70" i="3" s="1"/>
  <c r="K70" i="3"/>
  <c r="J70" i="3"/>
  <c r="L69" i="3"/>
  <c r="K69" i="3"/>
  <c r="J69" i="3"/>
  <c r="L68" i="3"/>
  <c r="M68" i="3" s="1"/>
  <c r="K68" i="3"/>
  <c r="J68" i="3"/>
  <c r="L67" i="3"/>
  <c r="M67" i="3" s="1"/>
  <c r="K67" i="3"/>
  <c r="J67" i="3"/>
  <c r="L66" i="3"/>
  <c r="K66" i="3"/>
  <c r="J66" i="3"/>
  <c r="L65" i="3"/>
  <c r="K65" i="3"/>
  <c r="J65" i="3"/>
  <c r="M65" i="3" s="1"/>
  <c r="L64" i="3"/>
  <c r="M64" i="3" s="1"/>
  <c r="K64" i="3"/>
  <c r="J64" i="3"/>
  <c r="L63" i="3"/>
  <c r="K63" i="3"/>
  <c r="J63" i="3"/>
  <c r="L62" i="3"/>
  <c r="K62" i="3"/>
  <c r="J62" i="3"/>
  <c r="M62" i="3" s="1"/>
  <c r="L61" i="3"/>
  <c r="M61" i="3" s="1"/>
  <c r="K61" i="3"/>
  <c r="J61" i="3"/>
  <c r="L60" i="3"/>
  <c r="M60" i="3" s="1"/>
  <c r="K60" i="3"/>
  <c r="J60" i="3"/>
  <c r="L59" i="3"/>
  <c r="M59" i="3" s="1"/>
  <c r="K59" i="3"/>
  <c r="J59" i="3"/>
  <c r="L58" i="3"/>
  <c r="M58" i="3" s="1"/>
  <c r="K58" i="3"/>
  <c r="J58" i="3"/>
  <c r="L57" i="3"/>
  <c r="K57" i="3"/>
  <c r="J57" i="3"/>
  <c r="L56" i="3"/>
  <c r="M56" i="3" s="1"/>
  <c r="K56" i="3"/>
  <c r="J56" i="3"/>
  <c r="L55" i="3"/>
  <c r="M55" i="3" s="1"/>
  <c r="K55" i="3"/>
  <c r="J55" i="3"/>
  <c r="L54" i="3"/>
  <c r="K54" i="3"/>
  <c r="J54" i="3"/>
  <c r="L53" i="3"/>
  <c r="M53" i="3" s="1"/>
  <c r="K53" i="3"/>
  <c r="J53" i="3"/>
  <c r="L52" i="3"/>
  <c r="K52" i="3"/>
  <c r="J52" i="3"/>
  <c r="M52" i="3" s="1"/>
  <c r="L51" i="3"/>
  <c r="M51" i="3" s="1"/>
  <c r="K51" i="3"/>
  <c r="J51" i="3"/>
  <c r="L50" i="3"/>
  <c r="M50" i="3" s="1"/>
  <c r="K50" i="3"/>
  <c r="J50" i="3"/>
  <c r="L49" i="3"/>
  <c r="K49" i="3"/>
  <c r="J49" i="3"/>
  <c r="L48" i="3"/>
  <c r="M48" i="3" s="1"/>
  <c r="K48" i="3"/>
  <c r="J48" i="3"/>
  <c r="L47" i="3"/>
  <c r="M47" i="3" s="1"/>
  <c r="K47" i="3"/>
  <c r="J47" i="3"/>
  <c r="L46" i="3"/>
  <c r="M46" i="3" s="1"/>
  <c r="K46" i="3"/>
  <c r="J46" i="3"/>
  <c r="L45" i="3"/>
  <c r="K45" i="3"/>
  <c r="J45" i="3"/>
  <c r="L44" i="3"/>
  <c r="M44" i="3" s="1"/>
  <c r="K44" i="3"/>
  <c r="J44" i="3"/>
  <c r="L43" i="3"/>
  <c r="M43" i="3" s="1"/>
  <c r="K43" i="3"/>
  <c r="J43" i="3"/>
  <c r="L42" i="3"/>
  <c r="K42" i="3"/>
  <c r="J42" i="3"/>
  <c r="L41" i="3"/>
  <c r="K41" i="3"/>
  <c r="J41" i="3"/>
  <c r="L40" i="3"/>
  <c r="M40" i="3" s="1"/>
  <c r="K40" i="3"/>
  <c r="J40" i="3"/>
  <c r="L39" i="3"/>
  <c r="K39" i="3"/>
  <c r="J39" i="3"/>
  <c r="L38" i="3"/>
  <c r="M38" i="3" s="1"/>
  <c r="K38" i="3"/>
  <c r="J38" i="3"/>
  <c r="L37" i="3"/>
  <c r="M37" i="3" s="1"/>
  <c r="K37" i="3"/>
  <c r="J37" i="3"/>
  <c r="L36" i="3"/>
  <c r="M36" i="3" s="1"/>
  <c r="K36" i="3"/>
  <c r="J36" i="3"/>
  <c r="L35" i="3"/>
  <c r="M35" i="3" s="1"/>
  <c r="K35" i="3"/>
  <c r="J35" i="3"/>
  <c r="L34" i="3"/>
  <c r="M34" i="3" s="1"/>
  <c r="K34" i="3"/>
  <c r="J34" i="3"/>
  <c r="L33" i="3"/>
  <c r="M33" i="3" s="1"/>
  <c r="K33" i="3"/>
  <c r="J33" i="3"/>
  <c r="L32" i="3"/>
  <c r="M32" i="3" s="1"/>
  <c r="K32" i="3"/>
  <c r="J32" i="3"/>
  <c r="L31" i="3"/>
  <c r="M31" i="3" s="1"/>
  <c r="K31" i="3"/>
  <c r="J31" i="3"/>
  <c r="L30" i="3"/>
  <c r="M30" i="3" s="1"/>
  <c r="K30" i="3"/>
  <c r="J30" i="3"/>
  <c r="L29" i="3"/>
  <c r="M29" i="3" s="1"/>
  <c r="K29" i="3"/>
  <c r="J29" i="3"/>
  <c r="L28" i="3"/>
  <c r="M28" i="3" s="1"/>
  <c r="K28" i="3"/>
  <c r="J28" i="3"/>
  <c r="L27" i="3"/>
  <c r="M27" i="3" s="1"/>
  <c r="K27" i="3"/>
  <c r="J27" i="3"/>
  <c r="L26" i="3"/>
  <c r="M26" i="3" s="1"/>
  <c r="K26" i="3"/>
  <c r="J26" i="3"/>
  <c r="L25" i="3"/>
  <c r="M25" i="3" s="1"/>
  <c r="K25" i="3"/>
  <c r="J25" i="3"/>
  <c r="L24" i="3"/>
  <c r="M24" i="3" s="1"/>
  <c r="K24" i="3"/>
  <c r="J24" i="3"/>
  <c r="L23" i="3"/>
  <c r="M23" i="3" s="1"/>
  <c r="K23" i="3"/>
  <c r="J23" i="3"/>
  <c r="L22" i="3"/>
  <c r="M22" i="3" s="1"/>
  <c r="K22" i="3"/>
  <c r="J22" i="3"/>
  <c r="L21" i="3"/>
  <c r="M21" i="3" s="1"/>
  <c r="K21" i="3"/>
  <c r="J21" i="3"/>
  <c r="L20" i="3"/>
  <c r="M20" i="3" s="1"/>
  <c r="K20" i="3"/>
  <c r="J20" i="3"/>
  <c r="L19" i="3"/>
  <c r="M19" i="3" s="1"/>
  <c r="K19" i="3"/>
  <c r="J19" i="3"/>
  <c r="L18" i="3"/>
  <c r="M18" i="3" s="1"/>
  <c r="K18" i="3"/>
  <c r="J18" i="3"/>
  <c r="L17" i="3"/>
  <c r="M17" i="3" s="1"/>
  <c r="K17" i="3"/>
  <c r="J17" i="3"/>
  <c r="L16" i="3"/>
  <c r="M16" i="3" s="1"/>
  <c r="K16" i="3"/>
  <c r="J16" i="3"/>
  <c r="L15" i="3"/>
  <c r="M15" i="3" s="1"/>
  <c r="K15" i="3"/>
  <c r="J15" i="3"/>
  <c r="L14" i="3"/>
  <c r="M14" i="3" s="1"/>
  <c r="K14" i="3"/>
  <c r="J14" i="3"/>
  <c r="L13" i="3"/>
  <c r="M13" i="3" s="1"/>
  <c r="K13" i="3"/>
  <c r="J13" i="3"/>
  <c r="L12" i="3"/>
  <c r="M12" i="3" s="1"/>
  <c r="K12" i="3"/>
  <c r="J12" i="3"/>
  <c r="L11" i="3"/>
  <c r="M11" i="3" s="1"/>
  <c r="K11" i="3"/>
  <c r="J11" i="3"/>
  <c r="L10" i="3"/>
  <c r="M10" i="3" s="1"/>
  <c r="K10" i="3"/>
  <c r="J10" i="3"/>
  <c r="L9" i="3"/>
  <c r="M9" i="3" s="1"/>
  <c r="K9" i="3"/>
  <c r="J9" i="3"/>
  <c r="L8" i="3"/>
  <c r="M8" i="3" s="1"/>
  <c r="K8" i="3"/>
  <c r="J8" i="3"/>
  <c r="L7" i="3"/>
  <c r="M7" i="3" s="1"/>
  <c r="K7" i="3"/>
  <c r="J7" i="3"/>
  <c r="L6" i="3"/>
  <c r="M6" i="3" s="1"/>
  <c r="K6" i="3"/>
  <c r="J6" i="3"/>
  <c r="L5" i="3"/>
  <c r="M5" i="3" s="1"/>
  <c r="K5" i="3"/>
  <c r="J5" i="3"/>
  <c r="L4" i="3"/>
  <c r="M4" i="3" s="1"/>
  <c r="K4" i="3"/>
  <c r="J4" i="3"/>
  <c r="L3" i="3"/>
  <c r="M3" i="3" s="1"/>
  <c r="K3" i="3"/>
  <c r="J3" i="3"/>
  <c r="L2" i="3"/>
  <c r="M2" i="3" s="1"/>
  <c r="K2" i="3"/>
  <c r="J2" i="3"/>
  <c r="C22" i="2"/>
  <c r="J26" i="1"/>
  <c r="J25" i="1"/>
  <c r="M170" i="3" l="1"/>
  <c r="M354" i="3"/>
  <c r="M390" i="3"/>
  <c r="B17" i="2"/>
  <c r="M49" i="3"/>
  <c r="M202" i="3"/>
  <c r="M206" i="3"/>
  <c r="M218" i="3"/>
  <c r="M230" i="3"/>
  <c r="M242" i="3"/>
  <c r="M258" i="3"/>
  <c r="M281" i="3"/>
  <c r="B23" i="2"/>
  <c r="D23" i="2" s="1"/>
  <c r="M215" i="3"/>
  <c r="M227" i="3"/>
  <c r="M239" i="3"/>
  <c r="M336" i="3"/>
  <c r="M41" i="3"/>
  <c r="M160" i="3"/>
  <c r="B16" i="2"/>
  <c r="M88" i="3"/>
  <c r="M184" i="3"/>
  <c r="M212" i="3"/>
  <c r="M224" i="3"/>
  <c r="M236" i="3"/>
  <c r="M255" i="3"/>
  <c r="M402" i="3"/>
  <c r="C16" i="2"/>
  <c r="C17" i="2"/>
  <c r="M173" i="3"/>
  <c r="M193" i="3"/>
  <c r="M209" i="3"/>
  <c r="M221" i="3"/>
  <c r="M233" i="3"/>
  <c r="M245" i="3"/>
  <c r="M290" i="3"/>
  <c r="M294" i="3"/>
  <c r="M317" i="3"/>
  <c r="B22" i="2"/>
  <c r="M158" i="3"/>
  <c r="M372" i="3"/>
  <c r="M98" i="3"/>
  <c r="C24" i="2"/>
  <c r="C27" i="2" s="1"/>
  <c r="M326" i="3"/>
  <c r="M330" i="3"/>
  <c r="C28" i="2"/>
  <c r="N26" i="1" s="1"/>
  <c r="M45" i="3"/>
  <c r="M81" i="3"/>
  <c r="E6" i="2" s="1"/>
  <c r="F6" i="2" s="1"/>
  <c r="M117" i="3"/>
  <c r="M153" i="3"/>
  <c r="M183" i="3"/>
  <c r="M42" i="3"/>
  <c r="M78" i="3"/>
  <c r="M114" i="3"/>
  <c r="M150" i="3"/>
  <c r="M194" i="3"/>
  <c r="M251" i="3"/>
  <c r="M39" i="3"/>
  <c r="M75" i="3"/>
  <c r="M111" i="3"/>
  <c r="E5" i="2" s="1"/>
  <c r="F5" i="2" s="1"/>
  <c r="M147" i="3"/>
  <c r="M180" i="3"/>
  <c r="M198" i="3"/>
  <c r="M216" i="3"/>
  <c r="M144" i="3"/>
  <c r="M191" i="3"/>
  <c r="M228" i="3"/>
  <c r="M240" i="3"/>
  <c r="M69" i="3"/>
  <c r="M105" i="3"/>
  <c r="M141" i="3"/>
  <c r="M177" i="3"/>
  <c r="M195" i="3"/>
  <c r="M213" i="3"/>
  <c r="M66" i="3"/>
  <c r="M102" i="3"/>
  <c r="M138" i="3"/>
  <c r="M174" i="3"/>
  <c r="M188" i="3"/>
  <c r="M63" i="3"/>
  <c r="M99" i="3"/>
  <c r="M135" i="3"/>
  <c r="M171" i="3"/>
  <c r="M192" i="3"/>
  <c r="M210" i="3"/>
  <c r="M225" i="3"/>
  <c r="M237" i="3"/>
  <c r="M57" i="3"/>
  <c r="M93" i="3"/>
  <c r="M129" i="3"/>
  <c r="M165" i="3"/>
  <c r="M189" i="3"/>
  <c r="M207" i="3"/>
  <c r="M264" i="3"/>
  <c r="M54" i="3"/>
  <c r="M90" i="3"/>
  <c r="M126" i="3"/>
  <c r="M162" i="3"/>
  <c r="M182" i="3"/>
  <c r="M200" i="3"/>
  <c r="M222" i="3"/>
  <c r="M234" i="3"/>
  <c r="M280" i="3"/>
  <c r="M316" i="3"/>
  <c r="M343" i="3"/>
  <c r="M361" i="3"/>
  <c r="M379" i="3"/>
  <c r="M397" i="3"/>
  <c r="M415" i="3"/>
  <c r="M433" i="3"/>
  <c r="M451" i="3"/>
  <c r="M469" i="3"/>
  <c r="M487" i="3"/>
  <c r="M277" i="3"/>
  <c r="M347" i="3"/>
  <c r="M365" i="3"/>
  <c r="M383" i="3"/>
  <c r="M310" i="3"/>
  <c r="M340" i="3"/>
  <c r="M358" i="3"/>
  <c r="M376" i="3"/>
  <c r="M394" i="3"/>
  <c r="M412" i="3"/>
  <c r="M430" i="3"/>
  <c r="M448" i="3"/>
  <c r="M466" i="3"/>
  <c r="M484" i="3"/>
  <c r="M271" i="3"/>
  <c r="M307" i="3"/>
  <c r="M344" i="3"/>
  <c r="M362" i="3"/>
  <c r="M380" i="3"/>
  <c r="M398" i="3"/>
  <c r="M416" i="3"/>
  <c r="M434" i="3"/>
  <c r="M452" i="3"/>
  <c r="M470" i="3"/>
  <c r="M488" i="3"/>
  <c r="M268" i="3"/>
  <c r="M304" i="3"/>
  <c r="M337" i="3"/>
  <c r="M355" i="3"/>
  <c r="M373" i="3"/>
  <c r="M391" i="3"/>
  <c r="M409" i="3"/>
  <c r="M445" i="3"/>
  <c r="M463" i="3"/>
  <c r="M481" i="3"/>
  <c r="M499" i="3"/>
  <c r="M431" i="3"/>
  <c r="M467" i="3"/>
  <c r="M485" i="3"/>
  <c r="M370" i="3"/>
  <c r="M388" i="3"/>
  <c r="M406" i="3"/>
  <c r="M424" i="3"/>
  <c r="M442" i="3"/>
  <c r="M460" i="3"/>
  <c r="M478" i="3"/>
  <c r="M496" i="3"/>
  <c r="M500" i="3"/>
  <c r="M256" i="3"/>
  <c r="M292" i="3"/>
  <c r="M328" i="3"/>
  <c r="M349" i="3"/>
  <c r="M367" i="3"/>
  <c r="M385" i="3"/>
  <c r="M403" i="3"/>
  <c r="M457" i="3"/>
  <c r="M475" i="3"/>
  <c r="M493" i="3"/>
  <c r="M253" i="3"/>
  <c r="M289" i="3"/>
  <c r="M325" i="3"/>
  <c r="M335" i="3"/>
  <c r="M353" i="3"/>
  <c r="M371" i="3"/>
  <c r="M389" i="3"/>
  <c r="M407" i="3"/>
  <c r="M425" i="3"/>
  <c r="M443" i="3"/>
  <c r="M461" i="3"/>
  <c r="M479" i="3"/>
  <c r="M497" i="3"/>
  <c r="E7" i="2" l="1"/>
  <c r="F7" i="2" s="1"/>
  <c r="E12" i="2"/>
  <c r="F12" i="2" s="1"/>
  <c r="B8" i="2"/>
  <c r="E10" i="2"/>
  <c r="F10" i="2" s="1"/>
  <c r="B24" i="2"/>
  <c r="B28" i="2" s="1"/>
  <c r="L26" i="1" s="1"/>
  <c r="W10" i="1"/>
  <c r="B27" i="2"/>
  <c r="B7" i="2"/>
  <c r="D22" i="2"/>
  <c r="B6" i="2"/>
  <c r="E11" i="2"/>
  <c r="F11" i="2" s="1"/>
  <c r="B5" i="2"/>
  <c r="D24" i="2"/>
  <c r="D28" i="2" s="1"/>
  <c r="P26" i="1" s="1"/>
  <c r="E9" i="2"/>
  <c r="F9" i="2" s="1"/>
  <c r="L25" i="1"/>
  <c r="B29" i="2"/>
  <c r="L27" i="1" s="1"/>
  <c r="E8" i="2"/>
  <c r="F8" i="2" s="1"/>
  <c r="N25" i="1"/>
  <c r="C29" i="2"/>
  <c r="N27" i="1" s="1"/>
  <c r="I9" i="2" l="1"/>
  <c r="J8" i="2"/>
  <c r="J9" i="2"/>
  <c r="I6" i="2"/>
  <c r="I5" i="2"/>
  <c r="I7" i="2"/>
  <c r="J7" i="2"/>
  <c r="D27" i="2"/>
  <c r="I8" i="2"/>
  <c r="J5" i="2"/>
  <c r="J6" i="2"/>
  <c r="P25" i="1" l="1"/>
  <c r="D29" i="2"/>
  <c r="P27" i="1" s="1"/>
</calcChain>
</file>

<file path=xl/sharedStrings.xml><?xml version="1.0" encoding="utf-8"?>
<sst xmlns="http://schemas.openxmlformats.org/spreadsheetml/2006/main" count="3076" uniqueCount="1065">
  <si>
    <t>SOC PERFORMANCE DASHBOARD</t>
  </si>
  <si>
    <t>Alerts by Severity</t>
  </si>
  <si>
    <t>Top 5 Alert Types</t>
  </si>
  <si>
    <t>FILTERS</t>
  </si>
  <si>
    <t>Click a blue cell ▼ to filter</t>
  </si>
  <si>
    <t>Severity</t>
  </si>
  <si>
    <t>All</t>
  </si>
  <si>
    <t>Status</t>
  </si>
  <si>
    <t>Month</t>
  </si>
  <si>
    <t>Alerts in view</t>
  </si>
  <si>
    <t>MTTR Trends Over Time (min)</t>
  </si>
  <si>
    <t>SLA Compliance (% of alerts resolved in ≤60 min)</t>
  </si>
  <si>
    <t>SLA Met</t>
  </si>
  <si>
    <t>Jan</t>
  </si>
  <si>
    <t>Feb</t>
  </si>
  <si>
    <t>Grand Total</t>
  </si>
  <si>
    <t>Source: Data sheet (500 simulated alerts). SLA threshold is set in Calc!B2.</t>
  </si>
  <si>
    <t>Calculation sheet – feeds the Dashboard (do not edit formulas)</t>
  </si>
  <si>
    <t>SLA threshold (min) – Time to Resolve ≤ this = SLA Met</t>
  </si>
  <si>
    <t>Input: 60-min SLA taken from the README / dashboard subtitle</t>
  </si>
  <si>
    <t>Alerts</t>
  </si>
  <si>
    <t>Alert Type</t>
  </si>
  <si>
    <t>Rank key (count + tie-break)</t>
  </si>
  <si>
    <t>Rank</t>
  </si>
  <si>
    <t>Top 5 Alert Type</t>
  </si>
  <si>
    <t>Medium</t>
  </si>
  <si>
    <t>Brute Force Login Attempt</t>
  </si>
  <si>
    <t>High</t>
  </si>
  <si>
    <t>C2 Beaconing Detected</t>
  </si>
  <si>
    <t>Low</t>
  </si>
  <si>
    <t>Credential Harvesting Site Access</t>
  </si>
  <si>
    <t>Critical</t>
  </si>
  <si>
    <t>Data Exfiltration Anomaly</t>
  </si>
  <si>
    <t>Malware Download Detected</t>
  </si>
  <si>
    <t>Ransomware Activity Detected</t>
  </si>
  <si>
    <t>Suspicious Phishing Email</t>
  </si>
  <si>
    <t>Unusual PowerShell Execution</t>
  </si>
  <si>
    <t>Avg Time to Triage (min)</t>
  </si>
  <si>
    <t>Avg Time to Resolve (min)</t>
  </si>
  <si>
    <t>SLA Met (counts)</t>
  </si>
  <si>
    <t>Yes</t>
  </si>
  <si>
    <t>No</t>
  </si>
  <si>
    <t>Total</t>
  </si>
  <si>
    <t>SLA Met (% of column)</t>
  </si>
  <si>
    <t>Note: trend &amp; SLA tables respond to the Severity and Status filters but always show both months; the Month filter drives the donut, bar chart and alert count.</t>
  </si>
  <si>
    <t>Timestamp</t>
  </si>
  <si>
    <t>Source IP</t>
  </si>
  <si>
    <t>Destination IP</t>
  </si>
  <si>
    <t>Threat Category</t>
  </si>
  <si>
    <t>Time to Triage (min)</t>
  </si>
  <si>
    <t>Time to Resolve (min)</t>
  </si>
  <si>
    <t>In View (Sev+Status)</t>
  </si>
  <si>
    <t>In View (All Filters)</t>
  </si>
  <si>
    <t>In Progress</t>
  </si>
  <si>
    <t>61.149.158.64</t>
  </si>
  <si>
    <t>10.95.231.155</t>
  </si>
  <si>
    <t>Ransomware</t>
  </si>
  <si>
    <t>10.100.225.201</t>
  </si>
  <si>
    <t>10.35.211.155</t>
  </si>
  <si>
    <t>Execution</t>
  </si>
  <si>
    <t>52.174.74.190</t>
  </si>
  <si>
    <t>10.32.8.91</t>
  </si>
  <si>
    <t>10.120.150.61</t>
  </si>
  <si>
    <t>10.136.179.122</t>
  </si>
  <si>
    <t>Phishing</t>
  </si>
  <si>
    <t>Open</t>
  </si>
  <si>
    <t>10.105.44.163</t>
  </si>
  <si>
    <t>80.222.239.68</t>
  </si>
  <si>
    <t>Malware</t>
  </si>
  <si>
    <t>False Positive</t>
  </si>
  <si>
    <t>10.96.140.96</t>
  </si>
  <si>
    <t>10.223.204.103</t>
  </si>
  <si>
    <t>Exfiltration</t>
  </si>
  <si>
    <t>Resolved</t>
  </si>
  <si>
    <t>10.149.75.243</t>
  </si>
  <si>
    <t>10.155.154.0</t>
  </si>
  <si>
    <t>209.46.14.182</t>
  </si>
  <si>
    <t>10.216.57.136</t>
  </si>
  <si>
    <t>10.138.233.49</t>
  </si>
  <si>
    <t>233.177.196.162</t>
  </si>
  <si>
    <t>10.67.190.172</t>
  </si>
  <si>
    <t>153.228.112.77</t>
  </si>
  <si>
    <t>10.51.179.161</t>
  </si>
  <si>
    <t>69.29.56.255</t>
  </si>
  <si>
    <t>21.42.234.237</t>
  </si>
  <si>
    <t>10.222.41.103</t>
  </si>
  <si>
    <t>0.95.208.231</t>
  </si>
  <si>
    <t>96.83.140.28</t>
  </si>
  <si>
    <t>10.113.207.192</t>
  </si>
  <si>
    <t>10.205.25.15</t>
  </si>
  <si>
    <t>C2 Beaconing</t>
  </si>
  <si>
    <t>10.34.115.244</t>
  </si>
  <si>
    <t>10.17.48.232</t>
  </si>
  <si>
    <t>Credential Harvesting</t>
  </si>
  <si>
    <t>150.71.255.160</t>
  </si>
  <si>
    <t>10.203.237.116</t>
  </si>
  <si>
    <t>10.34.151.42</t>
  </si>
  <si>
    <t>10.53.19.110</t>
  </si>
  <si>
    <t>10.56.30.23</t>
  </si>
  <si>
    <t>149.109.128.229</t>
  </si>
  <si>
    <t>Credential Access</t>
  </si>
  <si>
    <t>195.254.1.132</t>
  </si>
  <si>
    <t>10.244.54.176</t>
  </si>
  <si>
    <t>10.59.72.205</t>
  </si>
  <si>
    <t>10.194.176.159</t>
  </si>
  <si>
    <t>10.53.158.133</t>
  </si>
  <si>
    <t>10.87.24.7</t>
  </si>
  <si>
    <t>10.170.193.182</t>
  </si>
  <si>
    <t>10.64.121.24</t>
  </si>
  <si>
    <t>10.120.33.14</t>
  </si>
  <si>
    <t>240.192.128.76</t>
  </si>
  <si>
    <t>241.115.136.87</t>
  </si>
  <si>
    <t>10.113.87.10</t>
  </si>
  <si>
    <t>147.103.106.3</t>
  </si>
  <si>
    <t>245.74.208.163</t>
  </si>
  <si>
    <t>155.223.3.120</t>
  </si>
  <si>
    <t>181.180.83.203</t>
  </si>
  <si>
    <t>242.249.75.45</t>
  </si>
  <si>
    <t>10.77.172.177</t>
  </si>
  <si>
    <t>51.9.77.54</t>
  </si>
  <si>
    <t>159.15.218.142</t>
  </si>
  <si>
    <t>10.22.109.198</t>
  </si>
  <si>
    <t>226.195.40.171</t>
  </si>
  <si>
    <t>10.130.246.204</t>
  </si>
  <si>
    <t>159.133.194.222</t>
  </si>
  <si>
    <t>53.199.147.109</t>
  </si>
  <si>
    <t>170.188.37.251</t>
  </si>
  <si>
    <t>10.70.41.161</t>
  </si>
  <si>
    <t>205.208.180.213</t>
  </si>
  <si>
    <t>10.167.212.146</t>
  </si>
  <si>
    <t>10.127.22.136</t>
  </si>
  <si>
    <t>140.177.69.127</t>
  </si>
  <si>
    <t>10.129.178.53</t>
  </si>
  <si>
    <t>109.208.19.244</t>
  </si>
  <si>
    <t>10.246.216.226</t>
  </si>
  <si>
    <t>39.32.155.224</t>
  </si>
  <si>
    <t>202.197.182.141</t>
  </si>
  <si>
    <t>190.195.154.56</t>
  </si>
  <si>
    <t>10.146.136.10</t>
  </si>
  <si>
    <t>5.170.94.172</t>
  </si>
  <si>
    <t>10.52.93.48</t>
  </si>
  <si>
    <t>10.221.198.172</t>
  </si>
  <si>
    <t>101.30.162.83</t>
  </si>
  <si>
    <t>10.2.181.116</t>
  </si>
  <si>
    <t>210.192.222.195</t>
  </si>
  <si>
    <t>10.23.131.243</t>
  </si>
  <si>
    <t>17.165.41.181</t>
  </si>
  <si>
    <t>10.21.21.215</t>
  </si>
  <si>
    <t>10.76.149.192</t>
  </si>
  <si>
    <t>10.89.238.66</t>
  </si>
  <si>
    <t>10.70.64.159</t>
  </si>
  <si>
    <t>242.163.46.254</t>
  </si>
  <si>
    <t>10.198.223.81</t>
  </si>
  <si>
    <t>10.82.102.31</t>
  </si>
  <si>
    <t>174.242.171.48</t>
  </si>
  <si>
    <t>10.212.204.95</t>
  </si>
  <si>
    <t>10.104.117.180</t>
  </si>
  <si>
    <t>101.225.176.246</t>
  </si>
  <si>
    <t>10.212.179.128</t>
  </si>
  <si>
    <t>10.196.26.148</t>
  </si>
  <si>
    <t>10.102.31.85</t>
  </si>
  <si>
    <t>149.234.104.38</t>
  </si>
  <si>
    <t>10.37.42.113</t>
  </si>
  <si>
    <t>10.169.105.73</t>
  </si>
  <si>
    <t>10.212.224.92</t>
  </si>
  <si>
    <t>10.223.254.43</t>
  </si>
  <si>
    <t>216.178.34.120</t>
  </si>
  <si>
    <t>10.161.29.117</t>
  </si>
  <si>
    <t>10.255.155.61</t>
  </si>
  <si>
    <t>10.203.114.29</t>
  </si>
  <si>
    <t>10.141.106.49</t>
  </si>
  <si>
    <t>10.101.19.235</t>
  </si>
  <si>
    <t>124.184.130.161</t>
  </si>
  <si>
    <t>10.4.86.205</t>
  </si>
  <si>
    <t>42.3.138.213</t>
  </si>
  <si>
    <t>10.106.223.184</t>
  </si>
  <si>
    <t>237.171.221.172</t>
  </si>
  <si>
    <t>82.117.235.149</t>
  </si>
  <si>
    <t>16.208.141.18</t>
  </si>
  <si>
    <t>171.16.44.156</t>
  </si>
  <si>
    <t>10.3.68.189</t>
  </si>
  <si>
    <t>10.33.2.122</t>
  </si>
  <si>
    <t>10.227.9.110</t>
  </si>
  <si>
    <t>10.203.28.169</t>
  </si>
  <si>
    <t>83.141.107.141</t>
  </si>
  <si>
    <t>10.126.65.13</t>
  </si>
  <si>
    <t>126.236.232.142</t>
  </si>
  <si>
    <t>10.192.174.42</t>
  </si>
  <si>
    <t>57.15.236.246</t>
  </si>
  <si>
    <t>10.146.179.55</t>
  </si>
  <si>
    <t>10.74.41.143</t>
  </si>
  <si>
    <t>10.226.127.31</t>
  </si>
  <si>
    <t>191.81.147.99</t>
  </si>
  <si>
    <t>10.122.167.216</t>
  </si>
  <si>
    <t>10.139.49.231</t>
  </si>
  <si>
    <t>10.151.94.30</t>
  </si>
  <si>
    <t>10.218.43.226</t>
  </si>
  <si>
    <t>243.158.241.191</t>
  </si>
  <si>
    <t>10.136.115.40</t>
  </si>
  <si>
    <t>10.88.254.22</t>
  </si>
  <si>
    <t>10.80.37.11</t>
  </si>
  <si>
    <t>10.27.236.104</t>
  </si>
  <si>
    <t>10.75.156.84</t>
  </si>
  <si>
    <t>10.230.207.133</t>
  </si>
  <si>
    <t>10.237.238.68</t>
  </si>
  <si>
    <t>10.60.26.5</t>
  </si>
  <si>
    <t>60.168.127.50</t>
  </si>
  <si>
    <t>10.222.15.108</t>
  </si>
  <si>
    <t>103.68.203.159</t>
  </si>
  <si>
    <t>10.54.51.177</t>
  </si>
  <si>
    <t>10.205.7.194</t>
  </si>
  <si>
    <t>59.114.200.110</t>
  </si>
  <si>
    <t>10.19.24.193</t>
  </si>
  <si>
    <t>129.207.50.83</t>
  </si>
  <si>
    <t>10.21.0.237</t>
  </si>
  <si>
    <t>23.221.237.130</t>
  </si>
  <si>
    <t>10.190.203.145</t>
  </si>
  <si>
    <t>10.247.41.70</t>
  </si>
  <si>
    <t>110.107.52.186</t>
  </si>
  <si>
    <t>10.173.185.18</t>
  </si>
  <si>
    <t>27.249.14.40</t>
  </si>
  <si>
    <t>10.153.83.158</t>
  </si>
  <si>
    <t>11.198.16.103</t>
  </si>
  <si>
    <t>10.19.83.163</t>
  </si>
  <si>
    <t>224.91.70.198</t>
  </si>
  <si>
    <t>10.188.49.11</t>
  </si>
  <si>
    <t>35.26.231.200</t>
  </si>
  <si>
    <t>228.101.225.81</t>
  </si>
  <si>
    <t>10.216.6.35</t>
  </si>
  <si>
    <t>146.245.223.124</t>
  </si>
  <si>
    <t>10.245.26.7</t>
  </si>
  <si>
    <t>132.18.163.54</t>
  </si>
  <si>
    <t>72.249.227.209</t>
  </si>
  <si>
    <t>10.247.33.40</t>
  </si>
  <si>
    <t>173.171.44.48</t>
  </si>
  <si>
    <t>10.43.245.41</t>
  </si>
  <si>
    <t>10.72.137.166</t>
  </si>
  <si>
    <t>10.50.143.212</t>
  </si>
  <si>
    <t>10.198.246.108</t>
  </si>
  <si>
    <t>10.188.48.246</t>
  </si>
  <si>
    <t>10.142.160.126</t>
  </si>
  <si>
    <t>10.214.239.95</t>
  </si>
  <si>
    <t>155.2.197.54</t>
  </si>
  <si>
    <t>10.225.207.206</t>
  </si>
  <si>
    <t>10.77.136.101</t>
  </si>
  <si>
    <t>171.69.5.121</t>
  </si>
  <si>
    <t>10.46.31.80</t>
  </si>
  <si>
    <t>10.60.36.133</t>
  </si>
  <si>
    <t>39.106.166.207</t>
  </si>
  <si>
    <t>10.250.157.164</t>
  </si>
  <si>
    <t>10.160.118.128</t>
  </si>
  <si>
    <t>102.148.195.68</t>
  </si>
  <si>
    <t>10.27.114.166</t>
  </si>
  <si>
    <t>10.38.141.163</t>
  </si>
  <si>
    <t>10.115.131.196</t>
  </si>
  <si>
    <t>193.27.209.197</t>
  </si>
  <si>
    <t>10.124.53.44</t>
  </si>
  <si>
    <t>10.66.186.118</t>
  </si>
  <si>
    <t>138.14.165.123</t>
  </si>
  <si>
    <t>10.49.128.60</t>
  </si>
  <si>
    <t>10.173.156.150</t>
  </si>
  <si>
    <t>114.84.10.184</t>
  </si>
  <si>
    <t>243.1.187.109</t>
  </si>
  <si>
    <t>145.214.63.121</t>
  </si>
  <si>
    <t>10.20.89.4</t>
  </si>
  <si>
    <t>111.220.11.174</t>
  </si>
  <si>
    <t>190.73.105.237</t>
  </si>
  <si>
    <t>10.162.43.175</t>
  </si>
  <si>
    <t>201.223.48.31</t>
  </si>
  <si>
    <t>33.248.7.46</t>
  </si>
  <si>
    <t>10.164.233.220</t>
  </si>
  <si>
    <t>10.249.235.58</t>
  </si>
  <si>
    <t>10.210.147.217</t>
  </si>
  <si>
    <t>175.158.122.15</t>
  </si>
  <si>
    <t>10.51.34.32</t>
  </si>
  <si>
    <t>10.220.169.88</t>
  </si>
  <si>
    <t>10.208.235.42</t>
  </si>
  <si>
    <t>166.108.15.162</t>
  </si>
  <si>
    <t>45.133.34.19</t>
  </si>
  <si>
    <t>10.54.205.107</t>
  </si>
  <si>
    <t>39.203.111.43</t>
  </si>
  <si>
    <t>10.101.110.123</t>
  </si>
  <si>
    <t>10.100.103.32</t>
  </si>
  <si>
    <t>149.175.109.13</t>
  </si>
  <si>
    <t>10.54.24.197</t>
  </si>
  <si>
    <t>10.240.58.182</t>
  </si>
  <si>
    <t>10.251.222.119</t>
  </si>
  <si>
    <t>10.122.131.45</t>
  </si>
  <si>
    <t>10.115.139.59</t>
  </si>
  <si>
    <t>10.80.221.167</t>
  </si>
  <si>
    <t>10.243.142.231</t>
  </si>
  <si>
    <t>10.203.203.30</t>
  </si>
  <si>
    <t>10.142.176.108</t>
  </si>
  <si>
    <t>10.252.240.113</t>
  </si>
  <si>
    <t>10.188.225.236</t>
  </si>
  <si>
    <t>50.73.93.0</t>
  </si>
  <si>
    <t>10.39.38.19</t>
  </si>
  <si>
    <t>10.148.150.170</t>
  </si>
  <si>
    <t>221.57.215.148</t>
  </si>
  <si>
    <t>79.107.88.201</t>
  </si>
  <si>
    <t>178.207.149.46</t>
  </si>
  <si>
    <t>216.178.248.183</t>
  </si>
  <si>
    <t>10.186.210.215</t>
  </si>
  <si>
    <t>23.208.152.17</t>
  </si>
  <si>
    <t>10.118.131.146</t>
  </si>
  <si>
    <t>211.158.25.140</t>
  </si>
  <si>
    <t>10.30.136.224</t>
  </si>
  <si>
    <t>10.189.9.224</t>
  </si>
  <si>
    <t>10.75.210.242</t>
  </si>
  <si>
    <t>10.4.252.241</t>
  </si>
  <si>
    <t>10.255.203.73</t>
  </si>
  <si>
    <t>10.111.51.70</t>
  </si>
  <si>
    <t>10.159.134.250</t>
  </si>
  <si>
    <t>10.102.141.70</t>
  </si>
  <si>
    <t>10.234.70.205</t>
  </si>
  <si>
    <t>115.85.123.158</t>
  </si>
  <si>
    <t>10.175.215.19</t>
  </si>
  <si>
    <t>10.158.172.29</t>
  </si>
  <si>
    <t>10.104.9.128</t>
  </si>
  <si>
    <t>10.138.72.61</t>
  </si>
  <si>
    <t>235.108.16.23</t>
  </si>
  <si>
    <t>202.0.239.89</t>
  </si>
  <si>
    <t>10.229.236.18</t>
  </si>
  <si>
    <t>81.17.211.30</t>
  </si>
  <si>
    <t>10.46.219.196</t>
  </si>
  <si>
    <t>10.135.177.16</t>
  </si>
  <si>
    <t>10.203.130.239</t>
  </si>
  <si>
    <t>10.172.86.30</t>
  </si>
  <si>
    <t>10.194.133.212</t>
  </si>
  <si>
    <t>10.154.227.134</t>
  </si>
  <si>
    <t>252.187.78.90</t>
  </si>
  <si>
    <t>10.0.88.152</t>
  </si>
  <si>
    <t>109.132.65.78</t>
  </si>
  <si>
    <t>10.74.218.154</t>
  </si>
  <si>
    <t>123.198.225.34</t>
  </si>
  <si>
    <t>36.141.49.237</t>
  </si>
  <si>
    <t>173.151.59.104</t>
  </si>
  <si>
    <t>10.254.34.52</t>
  </si>
  <si>
    <t>176.46.33.171</t>
  </si>
  <si>
    <t>10.253.174.29</t>
  </si>
  <si>
    <t>10.205.8.19</t>
  </si>
  <si>
    <t>10.130.145.122</t>
  </si>
  <si>
    <t>10.238.194.251</t>
  </si>
  <si>
    <t>205.31.83.25</t>
  </si>
  <si>
    <t>223.125.13.216</t>
  </si>
  <si>
    <t>11.47.109.93</t>
  </si>
  <si>
    <t>10.121.157.142</t>
  </si>
  <si>
    <t>10.130.158.147</t>
  </si>
  <si>
    <t>228.238.198.125</t>
  </si>
  <si>
    <t>10.58.97.179</t>
  </si>
  <si>
    <t>10.99.71.88</t>
  </si>
  <si>
    <t>10.149.212.55</t>
  </si>
  <si>
    <t>10.136.225.48</t>
  </si>
  <si>
    <t>10.126.10.170</t>
  </si>
  <si>
    <t>182.82.174.154</t>
  </si>
  <si>
    <t>180.187.167.64</t>
  </si>
  <si>
    <t>235.46.200.15</t>
  </si>
  <si>
    <t>10.250.178.92</t>
  </si>
  <si>
    <t>10.95.203.98</t>
  </si>
  <si>
    <t>10.207.12.127</t>
  </si>
  <si>
    <t>142.82.252.67</t>
  </si>
  <si>
    <t>10.13.51.14</t>
  </si>
  <si>
    <t>10.183.107.136</t>
  </si>
  <si>
    <t>175.71.91.74</t>
  </si>
  <si>
    <t>10.245.2.9</t>
  </si>
  <si>
    <t>109.93.4.120</t>
  </si>
  <si>
    <t>10.24.1.49</t>
  </si>
  <si>
    <t>112.96.120.236</t>
  </si>
  <si>
    <t>10.146.111.114</t>
  </si>
  <si>
    <t>10.29.179.245</t>
  </si>
  <si>
    <t>10.140.11.216</t>
  </si>
  <si>
    <t>10.233.192.15</t>
  </si>
  <si>
    <t>162.199.35.213</t>
  </si>
  <si>
    <t>100.159.125.137</t>
  </si>
  <si>
    <t>10.114.4.115</t>
  </si>
  <si>
    <t>10.247.175.105</t>
  </si>
  <si>
    <t>10.157.1.162</t>
  </si>
  <si>
    <t>10.172.206.124</t>
  </si>
  <si>
    <t>136.173.179.137</t>
  </si>
  <si>
    <t>130.196.28.85</t>
  </si>
  <si>
    <t>10.175.114.155</t>
  </si>
  <si>
    <t>10.56.128.160</t>
  </si>
  <si>
    <t>158.35.131.209</t>
  </si>
  <si>
    <t>10.72.96.37</t>
  </si>
  <si>
    <t>10.214.35.111</t>
  </si>
  <si>
    <t>10.228.91.156</t>
  </si>
  <si>
    <t>8.222.201.34</t>
  </si>
  <si>
    <t>10.201.41.186</t>
  </si>
  <si>
    <t>10.97.147.138</t>
  </si>
  <si>
    <t>10.230.187.17</t>
  </si>
  <si>
    <t>10.156.129.127</t>
  </si>
  <si>
    <t>10.78.68.242</t>
  </si>
  <si>
    <t>167.207.112.93</t>
  </si>
  <si>
    <t>10.237.174.10</t>
  </si>
  <si>
    <t>10.63.108.67</t>
  </si>
  <si>
    <t>10.23.169.83</t>
  </si>
  <si>
    <t>10.243.69.18</t>
  </si>
  <si>
    <t>10.48.27.144</t>
  </si>
  <si>
    <t>10.106.185.149</t>
  </si>
  <si>
    <t>10.37.234.38</t>
  </si>
  <si>
    <t>10.227.229.157</t>
  </si>
  <si>
    <t>10.35.33.202</t>
  </si>
  <si>
    <t>140.178.26.163</t>
  </si>
  <si>
    <t>10.90.243.69</t>
  </si>
  <si>
    <t>247.254.96.80</t>
  </si>
  <si>
    <t>102.36.91.251</t>
  </si>
  <si>
    <t>166.94.104.143</t>
  </si>
  <si>
    <t>10.211.238.167</t>
  </si>
  <si>
    <t>10.113.74.214</t>
  </si>
  <si>
    <t>104.198.144.179</t>
  </si>
  <si>
    <t>184.215.125.48</t>
  </si>
  <si>
    <t>10.237.59.195</t>
  </si>
  <si>
    <t>10.61.101.79</t>
  </si>
  <si>
    <t>10.149.41.93</t>
  </si>
  <si>
    <t>17.180.97.234</t>
  </si>
  <si>
    <t>10.210.97.97</t>
  </si>
  <si>
    <t>10.22.23.3</t>
  </si>
  <si>
    <t>32.77.185.219</t>
  </si>
  <si>
    <t>10.40.31.235</t>
  </si>
  <si>
    <t>10.132.70.196</t>
  </si>
  <si>
    <t>10.141.115.19</t>
  </si>
  <si>
    <t>108.152.253.156</t>
  </si>
  <si>
    <t>52.160.220.213</t>
  </si>
  <si>
    <t>10.86.225.202</t>
  </si>
  <si>
    <t>72.166.57.209</t>
  </si>
  <si>
    <t>165.186.176.81</t>
  </si>
  <si>
    <t>10.105.216.164</t>
  </si>
  <si>
    <t>140.126.111.67</t>
  </si>
  <si>
    <t>155.223.144.243</t>
  </si>
  <si>
    <t>24.220.206.183</t>
  </si>
  <si>
    <t>10.118.71.253</t>
  </si>
  <si>
    <t>60.104.65.215</t>
  </si>
  <si>
    <t>83.19.80.225</t>
  </si>
  <si>
    <t>10.131.50.95</t>
  </si>
  <si>
    <t>42.244.58.184</t>
  </si>
  <si>
    <t>10.191.20.41</t>
  </si>
  <si>
    <t>10.247.102.136</t>
  </si>
  <si>
    <t>10.113.43.18</t>
  </si>
  <si>
    <t>10.200.66.188</t>
  </si>
  <si>
    <t>10.41.70.158</t>
  </si>
  <si>
    <t>219.180.64.34</t>
  </si>
  <si>
    <t>49.204.103.57</t>
  </si>
  <si>
    <t>10.206.211.97</t>
  </si>
  <si>
    <t>113.29.193.222</t>
  </si>
  <si>
    <t>10.211.12.96</t>
  </si>
  <si>
    <t>10.78.53.35</t>
  </si>
  <si>
    <t>10.159.240.162</t>
  </si>
  <si>
    <t>10.98.225.232</t>
  </si>
  <si>
    <t>10.142.165.15</t>
  </si>
  <si>
    <t>10.243.116.198</t>
  </si>
  <si>
    <t>10.38.16.242</t>
  </si>
  <si>
    <t>10.125.208.83</t>
  </si>
  <si>
    <t>10.172.213.57</t>
  </si>
  <si>
    <t>10.130.9.81</t>
  </si>
  <si>
    <t>10.4.207.189</t>
  </si>
  <si>
    <t>21.117.17.174</t>
  </si>
  <si>
    <t>10.209.58.36</t>
  </si>
  <si>
    <t>10.153.193.61</t>
  </si>
  <si>
    <t>10.204.178.91</t>
  </si>
  <si>
    <t>10.75.140.56</t>
  </si>
  <si>
    <t>152.146.64.173</t>
  </si>
  <si>
    <t>10.105.222.74</t>
  </si>
  <si>
    <t>10.184.245.240</t>
  </si>
  <si>
    <t>10.163.176.248</t>
  </si>
  <si>
    <t>20.160.188.204</t>
  </si>
  <si>
    <t>10.41.200.48</t>
  </si>
  <si>
    <t>10.14.110.153</t>
  </si>
  <si>
    <t>10.60.135.247</t>
  </si>
  <si>
    <t>10.81.198.103</t>
  </si>
  <si>
    <t>10.248.165.244</t>
  </si>
  <si>
    <t>10.205.85.39</t>
  </si>
  <si>
    <t>249.232.163.106</t>
  </si>
  <si>
    <t>45.83.77.209</t>
  </si>
  <si>
    <t>10.161.72.217</t>
  </si>
  <si>
    <t>100.152.139.223</t>
  </si>
  <si>
    <t>10.234.10.203</t>
  </si>
  <si>
    <t>10.255.233.157</t>
  </si>
  <si>
    <t>10.32.110.84</t>
  </si>
  <si>
    <t>137.249.13.234</t>
  </si>
  <si>
    <t>10.154.105.11</t>
  </si>
  <si>
    <t>153.180.147.81</t>
  </si>
  <si>
    <t>10.21.128.39</t>
  </si>
  <si>
    <t>10.243.86.173</t>
  </si>
  <si>
    <t>10.188.240.63</t>
  </si>
  <si>
    <t>10.176.0.248</t>
  </si>
  <si>
    <t>10.92.48.106</t>
  </si>
  <si>
    <t>10.40.110.138</t>
  </si>
  <si>
    <t>10.186.91.32</t>
  </si>
  <si>
    <t>10.76.215.229</t>
  </si>
  <si>
    <t>10.152.212.225</t>
  </si>
  <si>
    <t>10.152.96.239</t>
  </si>
  <si>
    <t>10.55.88.79</t>
  </si>
  <si>
    <t>10.19.211.182</t>
  </si>
  <si>
    <t>10.175.139.48</t>
  </si>
  <si>
    <t>115.237.178.36</t>
  </si>
  <si>
    <t>91.36.156.43</t>
  </si>
  <si>
    <t>10.54.159.250</t>
  </si>
  <si>
    <t>212.8.83.146</t>
  </si>
  <si>
    <t>10.127.119.254</t>
  </si>
  <si>
    <t>184.142.195.25</t>
  </si>
  <si>
    <t>174.76.133.0</t>
  </si>
  <si>
    <t>10.92.218.244</t>
  </si>
  <si>
    <t>145.58.23.53</t>
  </si>
  <si>
    <t>10.231.161.109</t>
  </si>
  <si>
    <t>10.203.79.116</t>
  </si>
  <si>
    <t>10.61.110.150</t>
  </si>
  <si>
    <t>10.220.126.208</t>
  </si>
  <si>
    <t>3.155.5.141</t>
  </si>
  <si>
    <t>202.111.191.249</t>
  </si>
  <si>
    <t>10.230.249.241</t>
  </si>
  <si>
    <t>110.218.186.141</t>
  </si>
  <si>
    <t>143.28.178.205</t>
  </si>
  <si>
    <t>46.221.145.66</t>
  </si>
  <si>
    <t>10.64.253.12</t>
  </si>
  <si>
    <t>223.155.20.31</t>
  </si>
  <si>
    <t>108.110.135.151</t>
  </si>
  <si>
    <t>10.141.22.69</t>
  </si>
  <si>
    <t>10.134.220.120</t>
  </si>
  <si>
    <t>10.137.128.245</t>
  </si>
  <si>
    <t>10.47.158.238</t>
  </si>
  <si>
    <t>10.175.25.176</t>
  </si>
  <si>
    <t>10.128.146.246</t>
  </si>
  <si>
    <t>216.154.64.193</t>
  </si>
  <si>
    <t>10.232.217.182</t>
  </si>
  <si>
    <t>10.134.58.5</t>
  </si>
  <si>
    <t>174.252.250.217</t>
  </si>
  <si>
    <t>155.240.2.116</t>
  </si>
  <si>
    <t>10.139.234.24</t>
  </si>
  <si>
    <t>79.25.158.193</t>
  </si>
  <si>
    <t>23.203.168.94</t>
  </si>
  <si>
    <t>10.175.121.90</t>
  </si>
  <si>
    <t>96.11.75.54</t>
  </si>
  <si>
    <t>10.47.170.30</t>
  </si>
  <si>
    <t>10.194.103.70</t>
  </si>
  <si>
    <t>101.0.20.36</t>
  </si>
  <si>
    <t>10.184.138.252</t>
  </si>
  <si>
    <t>10.190.98.78</t>
  </si>
  <si>
    <t>10.180.49.197</t>
  </si>
  <si>
    <t>10.158.237.199</t>
  </si>
  <si>
    <t>10.146.200.215</t>
  </si>
  <si>
    <t>10.220.116.23</t>
  </si>
  <si>
    <t>10.192.193.99</t>
  </si>
  <si>
    <t>117.128.228.234</t>
  </si>
  <si>
    <t>220.138.182.168</t>
  </si>
  <si>
    <t>10.152.251.38</t>
  </si>
  <si>
    <t>250.2.234.237</t>
  </si>
  <si>
    <t>152.199.71.43</t>
  </si>
  <si>
    <t>10.223.44.81</t>
  </si>
  <si>
    <t>125.225.189.255</t>
  </si>
  <si>
    <t>10.189.182.26</t>
  </si>
  <si>
    <t>10.227.175.44</t>
  </si>
  <si>
    <t>10.241.128.157</t>
  </si>
  <si>
    <t>10.119.44.152</t>
  </si>
  <si>
    <t>10.54.104.50</t>
  </si>
  <si>
    <t>10.102.69.141</t>
  </si>
  <si>
    <t>116.59.101.163</t>
  </si>
  <si>
    <t>10.119.131.83</t>
  </si>
  <si>
    <t>10.164.224.86</t>
  </si>
  <si>
    <t>10.34.35.220</t>
  </si>
  <si>
    <t>55.114.170.152</t>
  </si>
  <si>
    <t>10.241.93.26</t>
  </si>
  <si>
    <t>120.242.206.108</t>
  </si>
  <si>
    <t>35.135.234.247</t>
  </si>
  <si>
    <t>218.246.26.39</t>
  </si>
  <si>
    <t>10.51.182.117</t>
  </si>
  <si>
    <t>10.46.93.24</t>
  </si>
  <si>
    <t>10.5.108.69</t>
  </si>
  <si>
    <t>10.191.110.142</t>
  </si>
  <si>
    <t>11.184.29.57</t>
  </si>
  <si>
    <t>10.38.32.204</t>
  </si>
  <si>
    <t>10.88.251.172</t>
  </si>
  <si>
    <t>10.220.67.22</t>
  </si>
  <si>
    <t>10.58.148.123</t>
  </si>
  <si>
    <t>10.113.19.38</t>
  </si>
  <si>
    <t>10.68.99.32</t>
  </si>
  <si>
    <t>138.166.176.7</t>
  </si>
  <si>
    <t>10.0.94.89</t>
  </si>
  <si>
    <t>10.17.199.238</t>
  </si>
  <si>
    <t>10.75.126.66</t>
  </si>
  <si>
    <t>10.183.86.254</t>
  </si>
  <si>
    <t>10.162.190.106</t>
  </si>
  <si>
    <t>10.96.150.70</t>
  </si>
  <si>
    <t>75.168.164.203</t>
  </si>
  <si>
    <t>10.113.155.34</t>
  </si>
  <si>
    <t>10.161.59.47</t>
  </si>
  <si>
    <t>10.64.207.123</t>
  </si>
  <si>
    <t>10.27.234.213</t>
  </si>
  <si>
    <t>10.251.181.131</t>
  </si>
  <si>
    <t>175.82.118.103</t>
  </si>
  <si>
    <t>241.83.58.233</t>
  </si>
  <si>
    <t>10.252.210.186</t>
  </si>
  <si>
    <t>10.165.51.202</t>
  </si>
  <si>
    <t>57.184.107.179</t>
  </si>
  <si>
    <t>143.245.7.2</t>
  </si>
  <si>
    <t>10.233.148.21</t>
  </si>
  <si>
    <t>10.61.198.155</t>
  </si>
  <si>
    <t>80.199.192.7</t>
  </si>
  <si>
    <t>10.169.162.102</t>
  </si>
  <si>
    <t>10.150.141.222</t>
  </si>
  <si>
    <t>10.123.83.133</t>
  </si>
  <si>
    <t>242.107.71.119</t>
  </si>
  <si>
    <t>101.92.229.9</t>
  </si>
  <si>
    <t>10.1.139.62</t>
  </si>
  <si>
    <t>10.109.170.169</t>
  </si>
  <si>
    <t>10.248.248.128</t>
  </si>
  <si>
    <t>83.128.185.5</t>
  </si>
  <si>
    <t>10.151.96.30</t>
  </si>
  <si>
    <t>10.245.19.151</t>
  </si>
  <si>
    <t>10.209.161.69</t>
  </si>
  <si>
    <t>10.196.96.186</t>
  </si>
  <si>
    <t>10.156.187.30</t>
  </si>
  <si>
    <t>10.59.87.98</t>
  </si>
  <si>
    <t>10.23.126.198</t>
  </si>
  <si>
    <t>10.81.149.84</t>
  </si>
  <si>
    <t>10.239.2.100</t>
  </si>
  <si>
    <t>239.125.184.34</t>
  </si>
  <si>
    <t>10.111.71.134</t>
  </si>
  <si>
    <t>10.202.164.113</t>
  </si>
  <si>
    <t>10.153.153.55</t>
  </si>
  <si>
    <t>10.58.12.41</t>
  </si>
  <si>
    <t>10.144.206.246</t>
  </si>
  <si>
    <t>10.80.164.89</t>
  </si>
  <si>
    <t>111.214.155.59</t>
  </si>
  <si>
    <t>10.140.7.147</t>
  </si>
  <si>
    <t>67.104.174.148</t>
  </si>
  <si>
    <t>145.77.207.175</t>
  </si>
  <si>
    <t>10.26.239.139</t>
  </si>
  <si>
    <t>3.40.193.55</t>
  </si>
  <si>
    <t>10.198.141.169</t>
  </si>
  <si>
    <t>119.153.253.220</t>
  </si>
  <si>
    <t>138.99.185.61</t>
  </si>
  <si>
    <t>10.201.46.203</t>
  </si>
  <si>
    <t>10.102.76.49</t>
  </si>
  <si>
    <t>81.139.47.34</t>
  </si>
  <si>
    <t>10.153.53.62</t>
  </si>
  <si>
    <t>171.140.191.152</t>
  </si>
  <si>
    <t>242.117.181.244</t>
  </si>
  <si>
    <t>10.121.219.190</t>
  </si>
  <si>
    <t>10.248.136.63</t>
  </si>
  <si>
    <t>51.147.43.109</t>
  </si>
  <si>
    <t>87.59.252.24</t>
  </si>
  <si>
    <t>10.108.122.235</t>
  </si>
  <si>
    <t>10.132.110.210</t>
  </si>
  <si>
    <t>10.242.62.147</t>
  </si>
  <si>
    <t>93.0.223.28</t>
  </si>
  <si>
    <t>97.64.119.212</t>
  </si>
  <si>
    <t>84.92.216.142</t>
  </si>
  <si>
    <t>163.25.220.181</t>
  </si>
  <si>
    <t>41.93.111.192</t>
  </si>
  <si>
    <t>10.222.93.37</t>
  </si>
  <si>
    <t>10.61.183.124</t>
  </si>
  <si>
    <t>10.48.99.21</t>
  </si>
  <si>
    <t>10.197.235.190</t>
  </si>
  <si>
    <t>10.252.226.22</t>
  </si>
  <si>
    <t>34.90.237.109</t>
  </si>
  <si>
    <t>10.135.201.236</t>
  </si>
  <si>
    <t>10.34.181.255</t>
  </si>
  <si>
    <t>10.117.209.153</t>
  </si>
  <si>
    <t>10.3.174.132</t>
  </si>
  <si>
    <t>255.57.161.24</t>
  </si>
  <si>
    <t>15.95.151.8</t>
  </si>
  <si>
    <t>173.89.0.222</t>
  </si>
  <si>
    <t>238.15.101.169</t>
  </si>
  <si>
    <t>10.255.94.200</t>
  </si>
  <si>
    <t>10.214.147.89</t>
  </si>
  <si>
    <t>67.158.117.77</t>
  </si>
  <si>
    <t>10.248.158.145</t>
  </si>
  <si>
    <t>33.121.227.241</t>
  </si>
  <si>
    <t>131.213.188.236</t>
  </si>
  <si>
    <t>80.77.40.32</t>
  </si>
  <si>
    <t>10.59.53.236</t>
  </si>
  <si>
    <t>10.224.87.73</t>
  </si>
  <si>
    <t>115.211.148.88</t>
  </si>
  <si>
    <t>253.123.18.122</t>
  </si>
  <si>
    <t>159.136.221.164</t>
  </si>
  <si>
    <t>111.88.66.196</t>
  </si>
  <si>
    <t>10.29.94.9</t>
  </si>
  <si>
    <t>10.21.168.164</t>
  </si>
  <si>
    <t>10.235.100.232</t>
  </si>
  <si>
    <t>60.119.234.75</t>
  </si>
  <si>
    <t>250.132.187.96</t>
  </si>
  <si>
    <t>10.89.199.176</t>
  </si>
  <si>
    <t>10.150.202.247</t>
  </si>
  <si>
    <t>10.141.64.85</t>
  </si>
  <si>
    <t>10.62.139.183</t>
  </si>
  <si>
    <t>7.56.139.165</t>
  </si>
  <si>
    <t>90.7.215.89</t>
  </si>
  <si>
    <t>10.248.39.232</t>
  </si>
  <si>
    <t>10.164.169.85</t>
  </si>
  <si>
    <t>207.242.177.197</t>
  </si>
  <si>
    <t>10.43.130.192</t>
  </si>
  <si>
    <t>10.0.37.167</t>
  </si>
  <si>
    <t>22.59.84.130</t>
  </si>
  <si>
    <t>10.57.115.110</t>
  </si>
  <si>
    <t>10.103.129.23</t>
  </si>
  <si>
    <t>10.16.148.207</t>
  </si>
  <si>
    <t>173.215.2.202</t>
  </si>
  <si>
    <t>209.35.247.194</t>
  </si>
  <si>
    <t>10.117.239.244</t>
  </si>
  <si>
    <t>10.139.136.180</t>
  </si>
  <si>
    <t>65.200.202.141</t>
  </si>
  <si>
    <t>10.174.181.218</t>
  </si>
  <si>
    <t>10.215.17.240</t>
  </si>
  <si>
    <t>10.19.84.170</t>
  </si>
  <si>
    <t>238.65.95.23</t>
  </si>
  <si>
    <t>10.220.118.10</t>
  </si>
  <si>
    <t>82.205.173.240</t>
  </si>
  <si>
    <t>228.90.135.233</t>
  </si>
  <si>
    <t>10.97.147.69</t>
  </si>
  <si>
    <t>10.194.152.228</t>
  </si>
  <si>
    <t>10.151.59.250</t>
  </si>
  <si>
    <t>10.22.67.70</t>
  </si>
  <si>
    <t>10.30.198.190</t>
  </si>
  <si>
    <t>10.88.171.93</t>
  </si>
  <si>
    <t>10.175.69.124</t>
  </si>
  <si>
    <t>10.68.251.157</t>
  </si>
  <si>
    <t>10.20.55.215</t>
  </si>
  <si>
    <t>10.120.81.235</t>
  </si>
  <si>
    <t>10.227.108.185</t>
  </si>
  <si>
    <t>10.183.240.222</t>
  </si>
  <si>
    <t>10.184.35.86</t>
  </si>
  <si>
    <t>10.137.175.191</t>
  </si>
  <si>
    <t>10.252.122.189</t>
  </si>
  <si>
    <t>10.151.124.149</t>
  </si>
  <si>
    <t>75.148.62.49</t>
  </si>
  <si>
    <t>10.160.20.46</t>
  </si>
  <si>
    <t>13.197.251.7</t>
  </si>
  <si>
    <t>254.131.195.43</t>
  </si>
  <si>
    <t>10.117.185.103</t>
  </si>
  <si>
    <t>122.110.67.209</t>
  </si>
  <si>
    <t>166.26.205.143</t>
  </si>
  <si>
    <t>10.194.235.68</t>
  </si>
  <si>
    <t>10.50.255.65</t>
  </si>
  <si>
    <t>30.37.149.185</t>
  </si>
  <si>
    <t>10.133.68.179</t>
  </si>
  <si>
    <t>149.65.10.158</t>
  </si>
  <si>
    <t>146.113.95.111</t>
  </si>
  <si>
    <t>10.126.170.193</t>
  </si>
  <si>
    <t>113.114.246.55</t>
  </si>
  <si>
    <t>197.85.35.238</t>
  </si>
  <si>
    <t>8.74.60.76</t>
  </si>
  <si>
    <t>192.186.34.165</t>
  </si>
  <si>
    <t>10.46.31.90</t>
  </si>
  <si>
    <t>10.227.201.184</t>
  </si>
  <si>
    <t>240.83.56.82</t>
  </si>
  <si>
    <t>47.178.30.103</t>
  </si>
  <si>
    <t>246.78.61.253</t>
  </si>
  <si>
    <t>10.3.195.15</t>
  </si>
  <si>
    <t>10.191.155.11</t>
  </si>
  <si>
    <t>10.219.250.46</t>
  </si>
  <si>
    <t>126.165.163.136</t>
  </si>
  <si>
    <t>10.48.175.23</t>
  </si>
  <si>
    <t>10.160.3.22</t>
  </si>
  <si>
    <t>10.2.214.197</t>
  </si>
  <si>
    <t>220.69.213.58</t>
  </si>
  <si>
    <t>10.99.169.220</t>
  </si>
  <si>
    <t>10.147.195.154</t>
  </si>
  <si>
    <t>10.15.178.73</t>
  </si>
  <si>
    <t>10.110.37.229</t>
  </si>
  <si>
    <t>10.169.185.151</t>
  </si>
  <si>
    <t>12.158.85.81</t>
  </si>
  <si>
    <t>10.114.218.63</t>
  </si>
  <si>
    <t>33.150.179.182</t>
  </si>
  <si>
    <t>211.46.109.206</t>
  </si>
  <si>
    <t>168.92.110.75</t>
  </si>
  <si>
    <t>215.43.97.9</t>
  </si>
  <si>
    <t>10.65.88.110</t>
  </si>
  <si>
    <t>18.67.155.16</t>
  </si>
  <si>
    <t>10.175.239.174</t>
  </si>
  <si>
    <t>131.233.110.245</t>
  </si>
  <si>
    <t>10.205.58.3</t>
  </si>
  <si>
    <t>10.49.160.234</t>
  </si>
  <si>
    <t>90.179.62.224</t>
  </si>
  <si>
    <t>10.23.55.178</t>
  </si>
  <si>
    <t>77.234.214.70</t>
  </si>
  <si>
    <t>10.242.41.241</t>
  </si>
  <si>
    <t>207.184.126.112</t>
  </si>
  <si>
    <t>113.64.17.162</t>
  </si>
  <si>
    <t>22.49.47.199</t>
  </si>
  <si>
    <t>10.136.202.218</t>
  </si>
  <si>
    <t>72.104.34.186</t>
  </si>
  <si>
    <t>203.83.240.191</t>
  </si>
  <si>
    <t>210.218.67.237</t>
  </si>
  <si>
    <t>10.153.138.252</t>
  </si>
  <si>
    <t>10.242.113.15</t>
  </si>
  <si>
    <t>7.192.209.23</t>
  </si>
  <si>
    <t>10.148.79.215</t>
  </si>
  <si>
    <t>228.212.102.236</t>
  </si>
  <si>
    <t>73.50.147.111</t>
  </si>
  <si>
    <t>10.207.96.101</t>
  </si>
  <si>
    <t>10.166.72.3</t>
  </si>
  <si>
    <t>10.112.234.114</t>
  </si>
  <si>
    <t>10.139.190.45</t>
  </si>
  <si>
    <t>10.127.28.90</t>
  </si>
  <si>
    <t>10.163.206.137</t>
  </si>
  <si>
    <t>10.195.212.94</t>
  </si>
  <si>
    <t>10.193.71.51</t>
  </si>
  <si>
    <t>10.88.117.89</t>
  </si>
  <si>
    <t>244.87.7.199</t>
  </si>
  <si>
    <t>10.32.138.173</t>
  </si>
  <si>
    <t>10.185.93.44</t>
  </si>
  <si>
    <t>10.41.239.157</t>
  </si>
  <si>
    <t>10.26.170.246</t>
  </si>
  <si>
    <t>184.151.110.198</t>
  </si>
  <si>
    <t>10.147.68.41</t>
  </si>
  <si>
    <t>10.226.83.157</t>
  </si>
  <si>
    <t>10.110.95.14</t>
  </si>
  <si>
    <t>10.117.150.135</t>
  </si>
  <si>
    <t>10.177.59.217</t>
  </si>
  <si>
    <t>10.71.73.206</t>
  </si>
  <si>
    <t>208.67.126.77</t>
  </si>
  <si>
    <t>10.30.214.129</t>
  </si>
  <si>
    <t>189.118.126.54</t>
  </si>
  <si>
    <t>180.37.142.26</t>
  </si>
  <si>
    <t>10.109.69.138</t>
  </si>
  <si>
    <t>10.32.179.212</t>
  </si>
  <si>
    <t>10.39.117.185</t>
  </si>
  <si>
    <t>10.71.151.210</t>
  </si>
  <si>
    <t>10.43.34.165</t>
  </si>
  <si>
    <t>10.113.174.247</t>
  </si>
  <si>
    <t>226.119.24.198</t>
  </si>
  <si>
    <t>248.23.14.192</t>
  </si>
  <si>
    <t>10.211.250.81</t>
  </si>
  <si>
    <t>10.111.61.232</t>
  </si>
  <si>
    <t>198.172.27.5</t>
  </si>
  <si>
    <t>10.81.71.46</t>
  </si>
  <si>
    <t>10.144.215.109</t>
  </si>
  <si>
    <t>10.217.173.224</t>
  </si>
  <si>
    <t>10.126.188.119</t>
  </si>
  <si>
    <t>233.87.43.195</t>
  </si>
  <si>
    <t>181.164.197.92</t>
  </si>
  <si>
    <t>82.36.109.6</t>
  </si>
  <si>
    <t>10.213.99.60</t>
  </si>
  <si>
    <t>23.171.184.100</t>
  </si>
  <si>
    <t>10.97.134.206</t>
  </si>
  <si>
    <t>66.128.58.161</t>
  </si>
  <si>
    <t>10.131.243.50</t>
  </si>
  <si>
    <t>10.214.151.200</t>
  </si>
  <si>
    <t>10.79.29.160</t>
  </si>
  <si>
    <t>10.134.218.237</t>
  </si>
  <si>
    <t>195.15.244.111</t>
  </si>
  <si>
    <t>83.201.58.232</t>
  </si>
  <si>
    <t>10.47.176.67</t>
  </si>
  <si>
    <t>10.249.44.254</t>
  </si>
  <si>
    <t>10.151.234.22</t>
  </si>
  <si>
    <t>75.200.28.23</t>
  </si>
  <si>
    <t>10.25.164.28</t>
  </si>
  <si>
    <t>10.253.153.181</t>
  </si>
  <si>
    <t>10.57.246.202</t>
  </si>
  <si>
    <t>10.11.0.137</t>
  </si>
  <si>
    <t>10.156.31.117</t>
  </si>
  <si>
    <t>9.178.234.231</t>
  </si>
  <si>
    <t>10.27.201.6</t>
  </si>
  <si>
    <t>10.193.207.66</t>
  </si>
  <si>
    <t>10.150.27.118</t>
  </si>
  <si>
    <t>10.133.51.53</t>
  </si>
  <si>
    <t>10.108.94.188</t>
  </si>
  <si>
    <t>10.207.98.96</t>
  </si>
  <si>
    <t>47.183.13.172</t>
  </si>
  <si>
    <t>10.38.152.217</t>
  </si>
  <si>
    <t>10.50.33.23</t>
  </si>
  <si>
    <t>143.248.134.158</t>
  </si>
  <si>
    <t>10.213.64.132</t>
  </si>
  <si>
    <t>49.171.11.87</t>
  </si>
  <si>
    <t>10.225.149.251</t>
  </si>
  <si>
    <t>10.4.47.212</t>
  </si>
  <si>
    <t>110.81.72.78</t>
  </si>
  <si>
    <t>205.79.139.44</t>
  </si>
  <si>
    <t>55.233.210.227</t>
  </si>
  <si>
    <t>188.95.212.222</t>
  </si>
  <si>
    <t>180.173.175.138</t>
  </si>
  <si>
    <t>10.13.127.179</t>
  </si>
  <si>
    <t>134.35.188.117</t>
  </si>
  <si>
    <t>10.179.19.186</t>
  </si>
  <si>
    <t>10.132.111.18</t>
  </si>
  <si>
    <t>10.126.150.52</t>
  </si>
  <si>
    <t>70.253.224.99</t>
  </si>
  <si>
    <t>171.255.146.135</t>
  </si>
  <si>
    <t>10.153.179.34</t>
  </si>
  <si>
    <t>10.25.63.77</t>
  </si>
  <si>
    <t>10.134.109.255</t>
  </si>
  <si>
    <t>147.251.113.209</t>
  </si>
  <si>
    <t>175.233.190.145</t>
  </si>
  <si>
    <t>10.183.172.250</t>
  </si>
  <si>
    <t>124.170.40.28</t>
  </si>
  <si>
    <t>10.13.45.58</t>
  </si>
  <si>
    <t>10.149.104.79</t>
  </si>
  <si>
    <t>10.197.14.140</t>
  </si>
  <si>
    <t>10.27.240.23</t>
  </si>
  <si>
    <t>62.101.38.4</t>
  </si>
  <si>
    <t>10.74.14.131</t>
  </si>
  <si>
    <t>10.193.33.173</t>
  </si>
  <si>
    <t>10.164.192.0</t>
  </si>
  <si>
    <t>222.0.24.171</t>
  </si>
  <si>
    <t>10.28.199.2</t>
  </si>
  <si>
    <t>10.196.148.84</t>
  </si>
  <si>
    <t>129.100.98.204</t>
  </si>
  <si>
    <t>10.157.233.37</t>
  </si>
  <si>
    <t>10.202.95.246</t>
  </si>
  <si>
    <t>10.98.144.251</t>
  </si>
  <si>
    <t>10.42.41.46</t>
  </si>
  <si>
    <t>9.48.174.247</t>
  </si>
  <si>
    <t>60.25.231.30</t>
  </si>
  <si>
    <t>10.123.11.189</t>
  </si>
  <si>
    <t>165.89.228.100</t>
  </si>
  <si>
    <t>10.15.204.249</t>
  </si>
  <si>
    <t>56.116.159.61</t>
  </si>
  <si>
    <t>67.215.84.20</t>
  </si>
  <si>
    <t>10.198.105.244</t>
  </si>
  <si>
    <t>10.180.80.111</t>
  </si>
  <si>
    <t>10.250.4.152</t>
  </si>
  <si>
    <t>10.89.226.147</t>
  </si>
  <si>
    <t>10.46.54.55</t>
  </si>
  <si>
    <t>19.42.94.89</t>
  </si>
  <si>
    <t>82.21.14.217</t>
  </si>
  <si>
    <t>10.39.214.69</t>
  </si>
  <si>
    <t>10.163.151.243</t>
  </si>
  <si>
    <t>4.140.132.129</t>
  </si>
  <si>
    <t>10.211.30.9</t>
  </si>
  <si>
    <t>10.136.143.157</t>
  </si>
  <si>
    <t>186.34.0.102</t>
  </si>
  <si>
    <t>194.142.189.113</t>
  </si>
  <si>
    <t>10.136.187.152</t>
  </si>
  <si>
    <t>18.45.215.191</t>
  </si>
  <si>
    <t>10.6.45.165</t>
  </si>
  <si>
    <t>84.253.154.212</t>
  </si>
  <si>
    <t>223.202.240.184</t>
  </si>
  <si>
    <t>10.89.127.110</t>
  </si>
  <si>
    <t>10.61.160.229</t>
  </si>
  <si>
    <t>10.59.232.154</t>
  </si>
  <si>
    <t>244.234.231.106</t>
  </si>
  <si>
    <t>10.123.64.200</t>
  </si>
  <si>
    <t>10.180.174.170</t>
  </si>
  <si>
    <t>129.243.141.213</t>
  </si>
  <si>
    <t>10.199.233.141</t>
  </si>
  <si>
    <t>39.32.121.126</t>
  </si>
  <si>
    <t>10.82.182.142</t>
  </si>
  <si>
    <t>10.113.182.37</t>
  </si>
  <si>
    <t>32.212.186.25</t>
  </si>
  <si>
    <t>10.93.42.69</t>
  </si>
  <si>
    <t>33.8.77.218</t>
  </si>
  <si>
    <t>10.127.150.234</t>
  </si>
  <si>
    <t>31.17.91.119</t>
  </si>
  <si>
    <t>10.172.248.186</t>
  </si>
  <si>
    <t>10.68.128.12</t>
  </si>
  <si>
    <t>10.15.242.250</t>
  </si>
  <si>
    <t>10.245.61.29</t>
  </si>
  <si>
    <t>28.206.8.234</t>
  </si>
  <si>
    <t>10.75.224.214</t>
  </si>
  <si>
    <t>147.159.68.236</t>
  </si>
  <si>
    <t>57.87.19.69</t>
  </si>
  <si>
    <t>10.181.121.77</t>
  </si>
  <si>
    <t>10.203.54.2</t>
  </si>
  <si>
    <t>10.5.224.215</t>
  </si>
  <si>
    <t>29.83.67.76</t>
  </si>
  <si>
    <t>10.4.129.235</t>
  </si>
  <si>
    <t>10.177.39.222</t>
  </si>
  <si>
    <t>32.222.67.94</t>
  </si>
  <si>
    <t>242.100.172.205</t>
  </si>
  <si>
    <t>10.14.33.168</t>
  </si>
  <si>
    <t>10.133.189.255</t>
  </si>
  <si>
    <t>10.71.167.154</t>
  </si>
  <si>
    <t>176.118.167.221</t>
  </si>
  <si>
    <t>239.64.209.99</t>
  </si>
  <si>
    <t>252.115.125.147</t>
  </si>
  <si>
    <t>10.231.186.119</t>
  </si>
  <si>
    <t>10.114.216.106</t>
  </si>
  <si>
    <t>10.116.124.141</t>
  </si>
  <si>
    <t>10.198.50.197</t>
  </si>
  <si>
    <t>217.23.56.249</t>
  </si>
  <si>
    <t>10.161.126.83</t>
  </si>
  <si>
    <t>10.18.191.245</t>
  </si>
  <si>
    <t>48.236.39.151</t>
  </si>
  <si>
    <t>10.47.19.124</t>
  </si>
  <si>
    <t>10.109.60.181</t>
  </si>
  <si>
    <t>10.73.196.68</t>
  </si>
  <si>
    <t>10.191.10.246</t>
  </si>
  <si>
    <t>62.192.162.134</t>
  </si>
  <si>
    <t>10.209.240.64</t>
  </si>
  <si>
    <t>10.153.147.235</t>
  </si>
  <si>
    <t>182.57.31.5</t>
  </si>
  <si>
    <t>10.155.11.211</t>
  </si>
  <si>
    <t>23.234.236.132</t>
  </si>
  <si>
    <t>10.166.8.98</t>
  </si>
  <si>
    <t>198.167.238.58</t>
  </si>
  <si>
    <t>155.55.162.44</t>
  </si>
  <si>
    <t>10.115.141.67</t>
  </si>
  <si>
    <t>106.73.137.167</t>
  </si>
  <si>
    <t>196.43.38.108</t>
  </si>
  <si>
    <t>10.214.203.77</t>
  </si>
  <si>
    <t>10.142.111.3</t>
  </si>
  <si>
    <t>10.219.91.173</t>
  </si>
  <si>
    <t>102.63.28.152</t>
  </si>
  <si>
    <t>12.54.173.79</t>
  </si>
  <si>
    <t>10.83.161.140</t>
  </si>
  <si>
    <t>18.193.54.225</t>
  </si>
  <si>
    <t>10.135.200.89</t>
  </si>
  <si>
    <t>10.124.142.79</t>
  </si>
  <si>
    <t>246.19.189.161</t>
  </si>
  <si>
    <t>173.110.204.88</t>
  </si>
  <si>
    <t>247.128.239.48</t>
  </si>
  <si>
    <t>201.206.68.190</t>
  </si>
  <si>
    <t>10.24.201.25</t>
  </si>
  <si>
    <t>10.178.1.26</t>
  </si>
  <si>
    <t>10.239.209.110</t>
  </si>
  <si>
    <t>10.98.177.227</t>
  </si>
  <si>
    <t>51.98.212.119</t>
  </si>
  <si>
    <t>10.0.53.53</t>
  </si>
  <si>
    <t>10.107.157.16</t>
  </si>
  <si>
    <t>39.155.99.125</t>
  </si>
  <si>
    <t>10.235.181.151</t>
  </si>
  <si>
    <t>10.251.93.146</t>
  </si>
  <si>
    <t>10.184.190.145</t>
  </si>
  <si>
    <t>10.85.42.178</t>
  </si>
  <si>
    <t>10.92.45.225</t>
  </si>
  <si>
    <t>10.97.93.162</t>
  </si>
  <si>
    <t>10.102.58.177</t>
  </si>
  <si>
    <t>10.211.193.6</t>
  </si>
  <si>
    <t>10.178.85.104</t>
  </si>
  <si>
    <t>10.164.46.55</t>
  </si>
  <si>
    <t>10.73.89.110</t>
  </si>
  <si>
    <t>24.105.199.86</t>
  </si>
  <si>
    <t>10.153.205.37</t>
  </si>
  <si>
    <t>10.26.75.57</t>
  </si>
  <si>
    <t>10.87.77.91</t>
  </si>
  <si>
    <t>10.165.123.140</t>
  </si>
  <si>
    <t>160.145.81.225</t>
  </si>
  <si>
    <t>10.67.72.104</t>
  </si>
  <si>
    <t>10.151.24.183</t>
  </si>
  <si>
    <t>18.59.49.208</t>
  </si>
  <si>
    <t>10.99.155.62</t>
  </si>
  <si>
    <t>10.68.91.237</t>
  </si>
  <si>
    <t>100.244.52.215</t>
  </si>
  <si>
    <t>10.185.35.240</t>
  </si>
  <si>
    <t>66.123.191.252</t>
  </si>
  <si>
    <t>10.228.22.78</t>
  </si>
  <si>
    <t>116.20.35.182</t>
  </si>
  <si>
    <t>10.80.155.5</t>
  </si>
  <si>
    <t>10.41.4.94</t>
  </si>
  <si>
    <t>10.90.186.71</t>
  </si>
  <si>
    <t>44.116.88.1</t>
  </si>
  <si>
    <t>10.217.63.5</t>
  </si>
  <si>
    <t>116.243.49.4</t>
  </si>
  <si>
    <t>143.16.211.63</t>
  </si>
  <si>
    <t>10.106.243.130</t>
  </si>
  <si>
    <t>10.230.168.137</t>
  </si>
  <si>
    <t>10.68.239.2</t>
  </si>
  <si>
    <t>10.18.196.157</t>
  </si>
  <si>
    <t>10.241.183.155</t>
  </si>
  <si>
    <t>10.226.152.251</t>
  </si>
  <si>
    <t>184.34.86.137</t>
  </si>
  <si>
    <t>10.43.149.191</t>
  </si>
  <si>
    <t>10.176.13.82</t>
  </si>
  <si>
    <t>10.163.160.189</t>
  </si>
  <si>
    <t>184.166.4.3</t>
  </si>
  <si>
    <t>10.46.194.101</t>
  </si>
  <si>
    <t>10.10.159.37</t>
  </si>
  <si>
    <t>10.71.38.218</t>
  </si>
  <si>
    <t>10.117.193.89</t>
  </si>
  <si>
    <t>10.21.23.107</t>
  </si>
  <si>
    <t>7.67.124.60</t>
  </si>
  <si>
    <t>10.89.93.39</t>
  </si>
  <si>
    <t>72.220.30.39</t>
  </si>
  <si>
    <t>10.224.23.22</t>
  </si>
  <si>
    <t>10.15.199.135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</si>
</sst>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4" x14ac:knownFonts="1">
    <font>
      <sz val="11"/>
      <color theme="1"/>
      <name val="Calibri"/>
      <family val="2"/>
      <charset val="1"/>
    </font>
    <font>
      <b/>
      <sz val="26"/>
      <color rgb="FFD55CC9"/>
      <name val="Arial Black"/>
      <charset val="1"/>
    </font>
    <font>
      <b/>
      <sz val="13"/>
      <color rgb="FFFFFFFF"/>
      <name val="Arial"/>
      <charset val="1"/>
    </font>
    <font>
      <b/>
      <sz val="11"/>
      <color rgb="FFD55CC9"/>
      <name val="Arial"/>
      <charset val="1"/>
    </font>
    <font>
      <i/>
      <sz val="9"/>
      <color rgb="FFB0B0B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14"/>
      <color rgb="FFD55CC9"/>
      <name val="Arial"/>
      <charset val="1"/>
    </font>
    <font>
      <sz val="11"/>
      <color rgb="FFFFFFFF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11"/>
      <color rgb="FF808080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7EC8E8"/>
        <bgColor rgb="FFB0B0B0"/>
      </patternFill>
    </fill>
    <fill>
      <patternFill patternType="solid">
        <fgColor rgb="FF7B1F7A"/>
        <bgColor rgb="FF8E3B8A"/>
      </patternFill>
    </fill>
    <fill>
      <patternFill patternType="solid">
        <fgColor rgb="FFD55CC9"/>
        <bgColor rgb="FFC77DC2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10" fontId="5" fillId="4" borderId="0" xfId="0" applyNumberFormat="1" applyFont="1" applyFill="1" applyAlignment="1">
      <alignment horizontal="right"/>
    </xf>
    <xf numFmtId="0" fontId="5" fillId="4" borderId="0" xfId="0" applyFont="1" applyFill="1"/>
    <xf numFmtId="10" fontId="8" fillId="5" borderId="0" xfId="0" applyNumberFormat="1" applyFont="1" applyFill="1" applyAlignment="1">
      <alignment horizontal="right"/>
    </xf>
    <xf numFmtId="0" fontId="8" fillId="5" borderId="0" xfId="0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2" fontId="13" fillId="0" borderId="0" xfId="0" applyNumberFormat="1" applyFont="1"/>
    <xf numFmtId="10" fontId="13" fillId="0" borderId="0" xfId="0" applyNumberFormat="1" applyFont="1"/>
    <xf numFmtId="0" fontId="5" fillId="4" borderId="0" xfId="0" applyFont="1" applyFill="1" applyAlignment="1">
      <alignment vertical="center" wrapText="1"/>
    </xf>
    <xf numFmtId="164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7A"/>
      <rgbColor rgb="FF008080"/>
      <rgbColor rgb="FFB0B0B0"/>
      <rgbColor rgb="FF808080"/>
      <rgbColor rgb="FF9999FF"/>
      <rgbColor rgb="FF8E3B8A"/>
      <rgbColor rgb="FFFFFFCC"/>
      <rgbColor rgb="FFCCFFFF"/>
      <rgbColor rgb="FF660066"/>
      <rgbColor rgb="FFD55CC9"/>
      <rgbColor rgb="FF0066CC"/>
      <rgbColor rgb="FFE1B8DE"/>
      <rgbColor rgb="FF000080"/>
      <rgbColor rgb="FFFF00FF"/>
      <rgbColor rgb="FFFFFF00"/>
      <rgbColor rgb="FF00FFFF"/>
      <rgbColor rgb="FFC13DB8"/>
      <rgbColor rgb="FF800000"/>
      <rgbColor rgb="FF008080"/>
      <rgbColor rgb="FF0000FF"/>
      <rgbColor rgb="FF00CCFF"/>
      <rgbColor rgb="FFCCFFFF"/>
      <rgbColor rgb="FFCCFFCC"/>
      <rgbColor rgb="FFFFFF99"/>
      <rgbColor rgb="FF7EC8E8"/>
      <rgbColor rgb="FFFF99CC"/>
      <rgbColor rgb="FFC77DC2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A62BA0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Calc!$B$4</c:f>
              <c:strCache>
                <c:ptCount val="1"/>
                <c:pt idx="0">
                  <c:v>Alerts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E3B8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742-4FF3-837D-F51C30CE181A}"/>
              </c:ext>
            </c:extLst>
          </c:dPt>
          <c:dPt>
            <c:idx val="1"/>
            <c:bubble3D val="0"/>
            <c:spPr>
              <a:solidFill>
                <a:srgbClr val="A62B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742-4FF3-837D-F51C30CE181A}"/>
              </c:ext>
            </c:extLst>
          </c:dPt>
          <c:dPt>
            <c:idx val="2"/>
            <c:bubble3D val="0"/>
            <c:spPr>
              <a:solidFill>
                <a:srgbClr val="C77DC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742-4FF3-837D-F51C30CE181A}"/>
              </c:ext>
            </c:extLst>
          </c:dPt>
          <c:dPt>
            <c:idx val="3"/>
            <c:bubble3D val="0"/>
            <c:spPr>
              <a:solidFill>
                <a:srgbClr val="E1B8D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742-4FF3-837D-F51C30CE181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742-4FF3-837D-F51C30CE181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742-4FF3-837D-F51C30CE181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742-4FF3-837D-F51C30CE181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742-4FF3-837D-F51C30CE18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Calc!$A$5:$A$8</c:f>
              <c:strCache>
                <c:ptCount val="4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  <c:pt idx="3">
                  <c:v>Critical</c:v>
                </c:pt>
              </c:strCache>
            </c:strRef>
          </c:cat>
          <c:val>
            <c:numRef>
              <c:f>Calc!$B$5:$B$8</c:f>
              <c:numCache>
                <c:formatCode>General</c:formatCode>
                <c:ptCount val="4"/>
                <c:pt idx="0">
                  <c:v>197</c:v>
                </c:pt>
                <c:pt idx="1">
                  <c:v>147</c:v>
                </c:pt>
                <c:pt idx="2">
                  <c:v>109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42-4FF3-837D-F51C30CE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00000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FFFFF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00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Calc!$J$4</c:f>
              <c:strCache>
                <c:ptCount val="1"/>
                <c:pt idx="0">
                  <c:v>Alerts</c:v>
                </c:pt>
              </c:strCache>
            </c:strRef>
          </c:tx>
          <c:spPr>
            <a:solidFill>
              <a:srgbClr val="A62B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Calc!$I$5:$I$9</c:f>
              <c:strCache>
                <c:ptCount val="5"/>
                <c:pt idx="0">
                  <c:v>Data Exfiltration Anomaly</c:v>
                </c:pt>
                <c:pt idx="1">
                  <c:v>Credential Harvesting Site Access</c:v>
                </c:pt>
                <c:pt idx="2">
                  <c:v>Suspicious Phishing Email</c:v>
                </c:pt>
                <c:pt idx="3">
                  <c:v>Unusual PowerShell Execution</c:v>
                </c:pt>
                <c:pt idx="4">
                  <c:v>Brute Force Login Attempt</c:v>
                </c:pt>
              </c:strCache>
            </c:strRef>
          </c:cat>
          <c:val>
            <c:numRef>
              <c:f>Calc!$J$5:$J$9</c:f>
              <c:numCache>
                <c:formatCode>General</c:formatCode>
                <c:ptCount val="5"/>
                <c:pt idx="0">
                  <c:v>77</c:v>
                </c:pt>
                <c:pt idx="1">
                  <c:v>75</c:v>
                </c:pt>
                <c:pt idx="2">
                  <c:v>70</c:v>
                </c:pt>
                <c:pt idx="3">
                  <c:v>64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6-4752-81F7-CA2EE03DA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1329358"/>
        <c:axId val="12392316"/>
      </c:barChart>
      <c:catAx>
        <c:axId val="413293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FFFFF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n-US"/>
          </a:p>
        </c:txPr>
        <c:crossAx val="12392316"/>
        <c:crosses val="autoZero"/>
        <c:auto val="1"/>
        <c:lblAlgn val="ctr"/>
        <c:lblOffset val="100"/>
        <c:noMultiLvlLbl val="0"/>
      </c:catAx>
      <c:valAx>
        <c:axId val="1239231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40404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n-US"/>
          </a:p>
        </c:txPr>
        <c:crossAx val="41329358"/>
        <c:crosses val="max"/>
        <c:crossBetween val="between"/>
      </c:valAx>
      <c:spPr>
        <a:solidFill>
          <a:srgbClr val="000000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000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Calc!$B$15</c:f>
              <c:strCache>
                <c:ptCount val="1"/>
                <c:pt idx="0">
                  <c:v>Avg Time to Triage (min)</c:v>
                </c:pt>
              </c:strCache>
            </c:strRef>
          </c:tx>
          <c:spPr>
            <a:ln w="28080">
              <a:solidFill>
                <a:srgbClr val="E1B8DE"/>
              </a:solidFill>
              <a:round/>
            </a:ln>
          </c:spPr>
          <c:marker>
            <c:symbol val="circle"/>
            <c:size val="6"/>
            <c:spPr>
              <a:solidFill>
                <a:srgbClr val="E1B8D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Calc!$A$16:$A$17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Calc!$B$16:$B$17</c:f>
              <c:numCache>
                <c:formatCode>0.00</c:formatCode>
                <c:ptCount val="2"/>
                <c:pt idx="0">
                  <c:v>23.133574007220215</c:v>
                </c:pt>
                <c:pt idx="1">
                  <c:v>23.174887892376681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E-422E-B758-BD41BC84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532772"/>
        <c:axId val="72297303"/>
      </c:lineChart>
      <c:catAx>
        <c:axId val="62532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n-US"/>
          </a:p>
        </c:txPr>
        <c:crossAx val="72297303"/>
        <c:crosses val="autoZero"/>
        <c:auto val="1"/>
        <c:lblAlgn val="ctr"/>
        <c:lblOffset val="100"/>
        <c:noMultiLvlLbl val="0"/>
      </c:catAx>
      <c:valAx>
        <c:axId val="72297303"/>
        <c:scaling>
          <c:orientation val="minMax"/>
          <c:min val="23.110000000000003"/>
        </c:scaling>
        <c:delete val="0"/>
        <c:axPos val="l"/>
        <c:majorGridlines>
          <c:spPr>
            <a:ln w="9360">
              <a:solidFill>
                <a:srgbClr val="404040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n-US"/>
          </a:p>
        </c:txPr>
        <c:crossAx val="62532772"/>
        <c:crosses val="autoZero"/>
        <c:crossBetween val="between"/>
      </c:valAx>
      <c:spPr>
        <a:solidFill>
          <a:srgbClr val="000000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FFFFF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00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190440</xdr:rowOff>
    </xdr:from>
    <xdr:to>
      <xdr:col>7</xdr:col>
      <xdr:colOff>480240</xdr:colOff>
      <xdr:row>20</xdr:row>
      <xdr:rowOff>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190440</xdr:rowOff>
    </xdr:from>
    <xdr:to>
      <xdr:col>18</xdr:col>
      <xdr:colOff>270360</xdr:colOff>
      <xdr:row>20</xdr:row>
      <xdr:rowOff>3240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28575</xdr:colOff>
      <xdr:row>22</xdr:row>
      <xdr:rowOff>184260</xdr:rowOff>
    </xdr:from>
    <xdr:to>
      <xdr:col>7</xdr:col>
      <xdr:colOff>508815</xdr:colOff>
      <xdr:row>37</xdr:row>
      <xdr:rowOff>66870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9"/>
  <sheetViews>
    <sheetView showGridLines="0" tabSelected="1" zoomScaleNormal="100" workbookViewId="0">
      <selection activeCell="J29" sqref="J29"/>
    </sheetView>
  </sheetViews>
  <sheetFormatPr defaultColWidth="8.7109375" defaultRowHeight="15" x14ac:dyDescent="0.25"/>
  <cols>
    <col min="1" max="21" width="9.5703125" customWidth="1"/>
    <col min="22" max="22" width="15" customWidth="1"/>
    <col min="23" max="23" width="16" customWidth="1"/>
    <col min="24" max="26" width="9.5703125" customWidth="1"/>
  </cols>
  <sheetData>
    <row r="1" spans="1:26" x14ac:dyDescent="0.25">
      <c r="A1" s="10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6.5" x14ac:dyDescent="0.25">
      <c r="A4" s="10"/>
      <c r="B4" s="8" t="s">
        <v>1</v>
      </c>
      <c r="C4" s="8"/>
      <c r="D4" s="8"/>
      <c r="E4" s="8"/>
      <c r="F4" s="8"/>
      <c r="G4" s="8"/>
      <c r="H4" s="8"/>
      <c r="I4" s="10"/>
      <c r="J4" s="8" t="s">
        <v>2</v>
      </c>
      <c r="K4" s="8"/>
      <c r="L4" s="8"/>
      <c r="M4" s="8"/>
      <c r="N4" s="8"/>
      <c r="O4" s="8"/>
      <c r="P4" s="8"/>
      <c r="Q4" s="8"/>
      <c r="R4" s="8"/>
      <c r="S4" s="8"/>
      <c r="T4" s="10"/>
      <c r="U4" s="10"/>
      <c r="V4" s="10"/>
      <c r="W4" s="7" t="s">
        <v>3</v>
      </c>
      <c r="X4" s="7"/>
      <c r="Y4" s="10"/>
      <c r="Z4" s="10"/>
    </row>
    <row r="5" spans="1:2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 t="s">
        <v>4</v>
      </c>
      <c r="W5" s="10"/>
      <c r="X5" s="10"/>
      <c r="Y5" s="10"/>
      <c r="Z5" s="10"/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2" t="s">
        <v>5</v>
      </c>
      <c r="W6" s="13" t="s">
        <v>6</v>
      </c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2" t="s">
        <v>7</v>
      </c>
      <c r="W7" s="13" t="s">
        <v>6</v>
      </c>
      <c r="X7" s="10"/>
      <c r="Y7" s="10"/>
      <c r="Z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2" t="s">
        <v>8</v>
      </c>
      <c r="W8" s="13" t="s">
        <v>6</v>
      </c>
      <c r="X8" s="10"/>
      <c r="Y8" s="10"/>
      <c r="Z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2" t="s">
        <v>9</v>
      </c>
      <c r="W10" s="14">
        <f>SUM(Data!$M$2:$M$501)</f>
        <v>500</v>
      </c>
      <c r="X10" s="10"/>
      <c r="Y10" s="10"/>
      <c r="Z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6.5" x14ac:dyDescent="0.25">
      <c r="A22" s="10"/>
      <c r="B22" s="8" t="s">
        <v>10</v>
      </c>
      <c r="C22" s="8"/>
      <c r="D22" s="8"/>
      <c r="E22" s="8"/>
      <c r="F22" s="8"/>
      <c r="G22" s="8"/>
      <c r="H22" s="8"/>
      <c r="I22" s="10"/>
      <c r="J22" s="8" t="s">
        <v>11</v>
      </c>
      <c r="K22" s="8"/>
      <c r="L22" s="8"/>
      <c r="M22" s="8"/>
      <c r="N22" s="8"/>
      <c r="O22" s="8"/>
      <c r="P22" s="8"/>
      <c r="Q22" s="8"/>
      <c r="R22" s="8"/>
      <c r="S22" s="8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6" t="s">
        <v>12</v>
      </c>
      <c r="K24" s="6"/>
      <c r="L24" s="5" t="s">
        <v>13</v>
      </c>
      <c r="M24" s="5"/>
      <c r="N24" s="5" t="s">
        <v>14</v>
      </c>
      <c r="O24" s="5"/>
      <c r="P24" s="5" t="s">
        <v>15</v>
      </c>
      <c r="Q24" s="5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4" t="str">
        <f>Calc!A27</f>
        <v>Yes</v>
      </c>
      <c r="K25" s="4"/>
      <c r="L25" s="3">
        <f>Calc!B27</f>
        <v>0.1407942238267148</v>
      </c>
      <c r="M25" s="3"/>
      <c r="N25" s="3">
        <f>Calc!C27</f>
        <v>0.16143497757847533</v>
      </c>
      <c r="O25" s="3"/>
      <c r="P25" s="3">
        <f>Calc!D27</f>
        <v>0.15</v>
      </c>
      <c r="Q25" s="3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4" t="str">
        <f>Calc!A28</f>
        <v>No</v>
      </c>
      <c r="K26" s="4"/>
      <c r="L26" s="3">
        <f>Calc!B28</f>
        <v>0.8592057761732852</v>
      </c>
      <c r="M26" s="3"/>
      <c r="N26" s="3">
        <f>Calc!C28</f>
        <v>0.83856502242152464</v>
      </c>
      <c r="O26" s="3"/>
      <c r="P26" s="3">
        <f>Calc!D28</f>
        <v>0.85</v>
      </c>
      <c r="Q26" s="3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2" t="s">
        <v>15</v>
      </c>
      <c r="K27" s="2"/>
      <c r="L27" s="1">
        <f>Calc!B29</f>
        <v>1</v>
      </c>
      <c r="M27" s="1"/>
      <c r="N27" s="1">
        <f>Calc!C29</f>
        <v>1</v>
      </c>
      <c r="O27" s="1"/>
      <c r="P27" s="1">
        <f>Calc!D29</f>
        <v>1</v>
      </c>
      <c r="Q27" s="1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1" t="s">
        <v>16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</sheetData>
  <mergeCells count="22">
    <mergeCell ref="J26:K26"/>
    <mergeCell ref="L26:M26"/>
    <mergeCell ref="N26:O26"/>
    <mergeCell ref="P26:Q26"/>
    <mergeCell ref="J27:K27"/>
    <mergeCell ref="L27:M27"/>
    <mergeCell ref="N27:O27"/>
    <mergeCell ref="P27:Q27"/>
    <mergeCell ref="J24:K24"/>
    <mergeCell ref="L24:M24"/>
    <mergeCell ref="N24:O24"/>
    <mergeCell ref="P24:Q24"/>
    <mergeCell ref="J25:K25"/>
    <mergeCell ref="L25:M25"/>
    <mergeCell ref="N25:O25"/>
    <mergeCell ref="P25:Q25"/>
    <mergeCell ref="B1:S2"/>
    <mergeCell ref="B4:H4"/>
    <mergeCell ref="J4:S4"/>
    <mergeCell ref="W4:X4"/>
    <mergeCell ref="B22:H22"/>
    <mergeCell ref="J22:S22"/>
  </mergeCells>
  <dataValidations count="3">
    <dataValidation type="list" promptTitle="Severity" prompt="Pick a Severity (or All)" sqref="W6" xr:uid="{00000000-0002-0000-0000-000000000000}">
      <formula1>"All,Critical,High,Low,Medium"</formula1>
      <formula2>0</formula2>
    </dataValidation>
    <dataValidation type="list" promptTitle="Status" prompt="Pick a Status (or All)" sqref="W7" xr:uid="{00000000-0002-0000-0000-000001000000}">
      <formula1>"All,False Positive,In Progress,Open,Resolved"</formula1>
      <formula2>0</formula2>
    </dataValidation>
    <dataValidation type="list" promptTitle="Month" prompt="Pick a Month (or All)" sqref="W8" xr:uid="{00000000-0002-0000-0000-000002000000}">
      <formula1>"All,Jan,Feb"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selection activeCell="F12" sqref="F12"/>
    </sheetView>
  </sheetViews>
  <sheetFormatPr defaultColWidth="8.7109375" defaultRowHeight="15" x14ac:dyDescent="0.25"/>
  <cols>
    <col min="1" max="1" width="30" customWidth="1"/>
    <col min="2" max="3" width="24" customWidth="1"/>
    <col min="4" max="4" width="34" customWidth="1"/>
    <col min="5" max="5" width="10" customWidth="1"/>
    <col min="6" max="6" width="26" customWidth="1"/>
    <col min="7" max="7" width="3" customWidth="1"/>
    <col min="8" max="8" width="7" customWidth="1"/>
    <col min="9" max="9" width="34" customWidth="1"/>
    <col min="10" max="10" width="9" customWidth="1"/>
  </cols>
  <sheetData>
    <row r="1" spans="1:10" ht="15.75" x14ac:dyDescent="0.25">
      <c r="A1" s="15" t="s">
        <v>17</v>
      </c>
    </row>
    <row r="2" spans="1:10" x14ac:dyDescent="0.25">
      <c r="A2" s="16" t="s">
        <v>18</v>
      </c>
      <c r="B2" s="17">
        <v>60</v>
      </c>
      <c r="C2" s="18" t="s">
        <v>19</v>
      </c>
    </row>
    <row r="4" spans="1:10" x14ac:dyDescent="0.25">
      <c r="A4" s="16" t="s">
        <v>5</v>
      </c>
      <c r="B4" s="16" t="s">
        <v>20</v>
      </c>
      <c r="D4" s="16" t="s">
        <v>21</v>
      </c>
      <c r="E4" s="16" t="s">
        <v>20</v>
      </c>
      <c r="F4" s="16" t="s">
        <v>22</v>
      </c>
      <c r="H4" s="16" t="s">
        <v>23</v>
      </c>
      <c r="I4" s="16" t="s">
        <v>24</v>
      </c>
      <c r="J4" s="16" t="s">
        <v>20</v>
      </c>
    </row>
    <row r="5" spans="1:10" x14ac:dyDescent="0.25">
      <c r="A5" s="19" t="s">
        <v>25</v>
      </c>
      <c r="B5" s="19">
        <f>COUNTIFS(Data!$C$2:$C$501,A5,Data!$M$2:$M$501,1)</f>
        <v>197</v>
      </c>
      <c r="D5" s="19" t="s">
        <v>26</v>
      </c>
      <c r="E5" s="19">
        <f>COUNTIFS(Data!$B$2:$B$501,D5,Data!$M$2:$M$501,1)</f>
        <v>61</v>
      </c>
      <c r="F5" s="19">
        <f t="shared" ref="F5:F12" si="0">E5+(8-ROW()+5)/1000</f>
        <v>61.008000000000003</v>
      </c>
      <c r="H5" s="19">
        <v>1</v>
      </c>
      <c r="I5" s="19" t="str">
        <f>INDEX($D$5:$D$12,MATCH(LARGE($F$5:$F$12,H5),$F$5:$F$12,0))</f>
        <v>Data Exfiltration Anomaly</v>
      </c>
      <c r="J5" s="19">
        <f>INT(LARGE($F$5:$F$12,H5))</f>
        <v>77</v>
      </c>
    </row>
    <row r="6" spans="1:10" x14ac:dyDescent="0.25">
      <c r="A6" s="19" t="s">
        <v>27</v>
      </c>
      <c r="B6" s="19">
        <f>COUNTIFS(Data!$C$2:$C$501,A6,Data!$M$2:$M$501,1)</f>
        <v>147</v>
      </c>
      <c r="D6" s="19" t="s">
        <v>28</v>
      </c>
      <c r="E6" s="19">
        <f>COUNTIFS(Data!$B$2:$B$501,D6,Data!$M$2:$M$501,1)</f>
        <v>50</v>
      </c>
      <c r="F6" s="19">
        <f t="shared" si="0"/>
        <v>50.006999999999998</v>
      </c>
      <c r="H6" s="19">
        <v>2</v>
      </c>
      <c r="I6" s="19" t="str">
        <f>INDEX($D$5:$D$12,MATCH(LARGE($F$5:$F$12,H6),$F$5:$F$12,0))</f>
        <v>Credential Harvesting Site Access</v>
      </c>
      <c r="J6" s="19">
        <f>INT(LARGE($F$5:$F$12,H6))</f>
        <v>75</v>
      </c>
    </row>
    <row r="7" spans="1:10" x14ac:dyDescent="0.25">
      <c r="A7" s="19" t="s">
        <v>29</v>
      </c>
      <c r="B7" s="19">
        <f>COUNTIFS(Data!$C$2:$C$501,A7,Data!$M$2:$M$501,1)</f>
        <v>109</v>
      </c>
      <c r="D7" s="19" t="s">
        <v>30</v>
      </c>
      <c r="E7" s="19">
        <f>COUNTIFS(Data!$B$2:$B$501,D7,Data!$M$2:$M$501,1)</f>
        <v>75</v>
      </c>
      <c r="F7" s="19">
        <f t="shared" si="0"/>
        <v>75.006</v>
      </c>
      <c r="H7" s="19">
        <v>3</v>
      </c>
      <c r="I7" s="19" t="str">
        <f>INDEX($D$5:$D$12,MATCH(LARGE($F$5:$F$12,H7),$F$5:$F$12,0))</f>
        <v>Suspicious Phishing Email</v>
      </c>
      <c r="J7" s="19">
        <f>INT(LARGE($F$5:$F$12,H7))</f>
        <v>70</v>
      </c>
    </row>
    <row r="8" spans="1:10" x14ac:dyDescent="0.25">
      <c r="A8" s="19" t="s">
        <v>31</v>
      </c>
      <c r="B8" s="19">
        <f>COUNTIFS(Data!$C$2:$C$501,A8,Data!$M$2:$M$501,1)</f>
        <v>47</v>
      </c>
      <c r="D8" s="19" t="s">
        <v>32</v>
      </c>
      <c r="E8" s="19">
        <f>COUNTIFS(Data!$B$2:$B$501,D8,Data!$M$2:$M$501,1)</f>
        <v>77</v>
      </c>
      <c r="F8" s="19">
        <f t="shared" si="0"/>
        <v>77.004999999999995</v>
      </c>
      <c r="H8" s="19">
        <v>4</v>
      </c>
      <c r="I8" s="19" t="str">
        <f>INDEX($D$5:$D$12,MATCH(LARGE($F$5:$F$12,H8),$F$5:$F$12,0))</f>
        <v>Unusual PowerShell Execution</v>
      </c>
      <c r="J8" s="19">
        <f>INT(LARGE($F$5:$F$12,H8))</f>
        <v>64</v>
      </c>
    </row>
    <row r="9" spans="1:10" x14ac:dyDescent="0.25">
      <c r="D9" s="19" t="s">
        <v>33</v>
      </c>
      <c r="E9" s="19">
        <f>COUNTIFS(Data!$B$2:$B$501,D9,Data!$M$2:$M$501,1)</f>
        <v>47</v>
      </c>
      <c r="F9" s="19">
        <f t="shared" si="0"/>
        <v>47.003999999999998</v>
      </c>
      <c r="H9" s="19">
        <v>5</v>
      </c>
      <c r="I9" s="19" t="str">
        <f>INDEX($D$5:$D$12,MATCH(LARGE($F$5:$F$12,H9),$F$5:$F$12,0))</f>
        <v>Brute Force Login Attempt</v>
      </c>
      <c r="J9" s="19">
        <f>INT(LARGE($F$5:$F$12,H9))</f>
        <v>61</v>
      </c>
    </row>
    <row r="10" spans="1:10" x14ac:dyDescent="0.25">
      <c r="D10" s="19" t="s">
        <v>34</v>
      </c>
      <c r="E10" s="19">
        <f>COUNTIFS(Data!$B$2:$B$501,D10,Data!$M$2:$M$501,1)</f>
        <v>56</v>
      </c>
      <c r="F10" s="19">
        <f t="shared" si="0"/>
        <v>56.003</v>
      </c>
    </row>
    <row r="11" spans="1:10" x14ac:dyDescent="0.25">
      <c r="D11" s="19" t="s">
        <v>35</v>
      </c>
      <c r="E11" s="19">
        <f>COUNTIFS(Data!$B$2:$B$501,D11,Data!$M$2:$M$501,1)</f>
        <v>70</v>
      </c>
      <c r="F11" s="19">
        <f t="shared" si="0"/>
        <v>70.001999999999995</v>
      </c>
    </row>
    <row r="12" spans="1:10" x14ac:dyDescent="0.25">
      <c r="D12" s="19" t="s">
        <v>36</v>
      </c>
      <c r="E12" s="19">
        <f>COUNTIFS(Data!$B$2:$B$501,D12,Data!$M$2:$M$501,1)</f>
        <v>64</v>
      </c>
      <c r="F12" s="19">
        <f t="shared" si="0"/>
        <v>64.001000000000005</v>
      </c>
    </row>
    <row r="15" spans="1:10" x14ac:dyDescent="0.25">
      <c r="A15" s="16" t="s">
        <v>8</v>
      </c>
      <c r="B15" s="16" t="s">
        <v>37</v>
      </c>
      <c r="C15" s="16" t="s">
        <v>38</v>
      </c>
    </row>
    <row r="16" spans="1:10" x14ac:dyDescent="0.25">
      <c r="A16" s="19" t="s">
        <v>13</v>
      </c>
      <c r="B16" s="20">
        <f>IFERROR(AVERAGEIFS(Data!$H$2:$H$501,Data!$J$2:$J$501,A16,Data!$L$2:$L$501,1),0)</f>
        <v>23.133574007220215</v>
      </c>
      <c r="C16" s="20">
        <f>IFERROR(AVERAGEIFS(Data!$I$2:$I$501,Data!$J$2:$J$501,A16,Data!$L$2:$L$501,1),0)</f>
        <v>118.74368231046931</v>
      </c>
    </row>
    <row r="17" spans="1:4" x14ac:dyDescent="0.25">
      <c r="A17" s="19" t="s">
        <v>14</v>
      </c>
      <c r="B17" s="20">
        <f>IFERROR(AVERAGEIFS(Data!$H$2:$H$501,Data!$J$2:$J$501,A17,Data!$L$2:$L$501,1),0)</f>
        <v>23.174887892376681</v>
      </c>
      <c r="C17" s="20">
        <f>IFERROR(AVERAGEIFS(Data!$I$2:$I$501,Data!$J$2:$J$501,A17,Data!$L$2:$L$501,1),0)</f>
        <v>119.83408071748879</v>
      </c>
    </row>
    <row r="21" spans="1:4" x14ac:dyDescent="0.25">
      <c r="A21" s="16" t="s">
        <v>39</v>
      </c>
      <c r="B21" s="16" t="s">
        <v>13</v>
      </c>
      <c r="C21" s="16" t="s">
        <v>14</v>
      </c>
      <c r="D21" s="16" t="s">
        <v>15</v>
      </c>
    </row>
    <row r="22" spans="1:4" x14ac:dyDescent="0.25">
      <c r="A22" s="19" t="s">
        <v>40</v>
      </c>
      <c r="B22" s="19">
        <f>COUNTIFS(Data!$K$2:$K$501,$A22,Data!$J$2:$J$501,B$21,Data!$L$2:$L$501,1)</f>
        <v>39</v>
      </c>
      <c r="C22" s="19">
        <f>COUNTIFS(Data!$K$2:$K$501,$A22,Data!$J$2:$J$501,C$21,Data!$L$2:$L$501,1)</f>
        <v>36</v>
      </c>
      <c r="D22" s="19">
        <f>B22+C22</f>
        <v>75</v>
      </c>
    </row>
    <row r="23" spans="1:4" x14ac:dyDescent="0.25">
      <c r="A23" s="19" t="s">
        <v>41</v>
      </c>
      <c r="B23" s="19">
        <f>COUNTIFS(Data!$K$2:$K$501,$A23,Data!$J$2:$J$501,B$21,Data!$L$2:$L$501,1)</f>
        <v>238</v>
      </c>
      <c r="C23" s="19">
        <f>COUNTIFS(Data!$K$2:$K$501,$A23,Data!$J$2:$J$501,C$21,Data!$L$2:$L$501,1)</f>
        <v>187</v>
      </c>
      <c r="D23" s="19">
        <f>B23+C23</f>
        <v>425</v>
      </c>
    </row>
    <row r="24" spans="1:4" x14ac:dyDescent="0.25">
      <c r="A24" s="16" t="s">
        <v>42</v>
      </c>
      <c r="B24" s="19">
        <f>B22+B23</f>
        <v>277</v>
      </c>
      <c r="C24" s="19">
        <f>C22+C23</f>
        <v>223</v>
      </c>
      <c r="D24" s="19">
        <f>D22+D23</f>
        <v>500</v>
      </c>
    </row>
    <row r="26" spans="1:4" x14ac:dyDescent="0.25">
      <c r="A26" s="16" t="s">
        <v>43</v>
      </c>
      <c r="B26" s="16" t="s">
        <v>13</v>
      </c>
      <c r="C26" s="16" t="s">
        <v>14</v>
      </c>
      <c r="D26" s="16" t="s">
        <v>15</v>
      </c>
    </row>
    <row r="27" spans="1:4" x14ac:dyDescent="0.25">
      <c r="A27" s="19" t="s">
        <v>40</v>
      </c>
      <c r="B27" s="21">
        <f t="shared" ref="B27:D28" si="1">IFERROR(B22/B$24,0)</f>
        <v>0.1407942238267148</v>
      </c>
      <c r="C27" s="21">
        <f t="shared" si="1"/>
        <v>0.16143497757847533</v>
      </c>
      <c r="D27" s="21">
        <f t="shared" si="1"/>
        <v>0.15</v>
      </c>
    </row>
    <row r="28" spans="1:4" x14ac:dyDescent="0.25">
      <c r="A28" s="19" t="s">
        <v>41</v>
      </c>
      <c r="B28" s="21">
        <f t="shared" si="1"/>
        <v>0.8592057761732852</v>
      </c>
      <c r="C28" s="21">
        <f t="shared" si="1"/>
        <v>0.83856502242152464</v>
      </c>
      <c r="D28" s="21">
        <f t="shared" si="1"/>
        <v>0.85</v>
      </c>
    </row>
    <row r="29" spans="1:4" x14ac:dyDescent="0.25">
      <c r="A29" s="16" t="s">
        <v>42</v>
      </c>
      <c r="B29" s="21">
        <f>B27+B28</f>
        <v>1</v>
      </c>
      <c r="C29" s="21">
        <f>C27+C28</f>
        <v>1</v>
      </c>
      <c r="D29" s="21">
        <f>D27+D28</f>
        <v>1</v>
      </c>
    </row>
    <row r="31" spans="1:4" x14ac:dyDescent="0.25">
      <c r="A31" s="18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34" customWidth="1"/>
    <col min="3" max="3" width="11" customWidth="1"/>
    <col min="4" max="4" width="15" customWidth="1"/>
    <col min="5" max="6" width="16" customWidth="1"/>
    <col min="7" max="7" width="18" customWidth="1"/>
    <col min="8" max="9" width="14" customWidth="1"/>
    <col min="10" max="10" width="8" customWidth="1"/>
    <col min="11" max="11" width="9" customWidth="1"/>
    <col min="12" max="13" width="14" customWidth="1"/>
  </cols>
  <sheetData>
    <row r="1" spans="1:13" ht="31.5" customHeight="1" x14ac:dyDescent="0.25">
      <c r="A1" s="22" t="s">
        <v>45</v>
      </c>
      <c r="B1" s="22" t="s">
        <v>21</v>
      </c>
      <c r="C1" s="22" t="s">
        <v>5</v>
      </c>
      <c r="D1" s="22" t="s">
        <v>7</v>
      </c>
      <c r="E1" s="22" t="s">
        <v>46</v>
      </c>
      <c r="F1" s="22" t="s">
        <v>47</v>
      </c>
      <c r="G1" s="22" t="s">
        <v>48</v>
      </c>
      <c r="H1" s="22" t="s">
        <v>49</v>
      </c>
      <c r="I1" s="22" t="s">
        <v>50</v>
      </c>
      <c r="J1" s="22" t="s">
        <v>8</v>
      </c>
      <c r="K1" s="22" t="s">
        <v>12</v>
      </c>
      <c r="L1" s="22" t="s">
        <v>51</v>
      </c>
      <c r="M1" s="22" t="s">
        <v>52</v>
      </c>
    </row>
    <row r="2" spans="1:13" x14ac:dyDescent="0.25">
      <c r="A2" s="23">
        <v>46023.151875000003</v>
      </c>
      <c r="B2" s="19" t="s">
        <v>34</v>
      </c>
      <c r="C2" s="19" t="s">
        <v>27</v>
      </c>
      <c r="D2" s="19" t="s">
        <v>53</v>
      </c>
      <c r="E2" s="19" t="s">
        <v>54</v>
      </c>
      <c r="F2" s="19" t="s">
        <v>55</v>
      </c>
      <c r="G2" s="19" t="s">
        <v>56</v>
      </c>
      <c r="H2" s="19">
        <v>13</v>
      </c>
      <c r="I2" s="19">
        <v>48</v>
      </c>
      <c r="J2" s="19" t="str">
        <f t="shared" ref="J2:J65" si="0">CHOOSE(MONTH(A2),"Jan","Feb","Mar","Apr","May","Jun","Jul","Aug","Sep","Oct","Nov","Dec")</f>
        <v>Jan</v>
      </c>
      <c r="K2" s="19" t="str">
        <f>IF(I2&lt;=Calc!$B$2,"Yes","No")</f>
        <v>Yes</v>
      </c>
      <c r="L2" s="19">
        <f>IF(AND(OR(Dashboard!$W$6="All",C2=Dashboard!$W$6),OR(Dashboard!$W$7="All",D2=Dashboard!$W$7)),1,0)</f>
        <v>1</v>
      </c>
      <c r="M2" s="19">
        <f>L2*IF(OR(Dashboard!$W$8="All",J2=Dashboard!$W$8),1,0)</f>
        <v>1</v>
      </c>
    </row>
    <row r="3" spans="1:13" x14ac:dyDescent="0.25">
      <c r="A3" s="23">
        <v>46023.1642013889</v>
      </c>
      <c r="B3" s="19" t="s">
        <v>36</v>
      </c>
      <c r="C3" s="19" t="s">
        <v>27</v>
      </c>
      <c r="D3" s="19" t="s">
        <v>53</v>
      </c>
      <c r="E3" s="19" t="s">
        <v>57</v>
      </c>
      <c r="F3" s="19" t="s">
        <v>58</v>
      </c>
      <c r="G3" s="19" t="s">
        <v>59</v>
      </c>
      <c r="H3" s="19">
        <v>14</v>
      </c>
      <c r="I3" s="19">
        <v>121</v>
      </c>
      <c r="J3" s="19" t="str">
        <f t="shared" si="0"/>
        <v>Jan</v>
      </c>
      <c r="K3" s="19" t="str">
        <f>IF(I3&lt;=Calc!$B$2,"Yes","No")</f>
        <v>No</v>
      </c>
      <c r="L3" s="19">
        <f>IF(AND(OR(Dashboard!$W$6="All",C3=Dashboard!$W$6),OR(Dashboard!$W$7="All",D3=Dashboard!$W$7)),1,0)</f>
        <v>1</v>
      </c>
      <c r="M3" s="19">
        <f>L3*IF(OR(Dashboard!$W$8="All",J3=Dashboard!$W$8),1,0)</f>
        <v>1</v>
      </c>
    </row>
    <row r="4" spans="1:13" x14ac:dyDescent="0.25">
      <c r="A4" s="23">
        <v>46023.432048611103</v>
      </c>
      <c r="B4" s="19" t="s">
        <v>36</v>
      </c>
      <c r="C4" s="19" t="s">
        <v>25</v>
      </c>
      <c r="D4" s="19" t="s">
        <v>53</v>
      </c>
      <c r="E4" s="19" t="s">
        <v>60</v>
      </c>
      <c r="F4" s="19" t="s">
        <v>61</v>
      </c>
      <c r="G4" s="19" t="s">
        <v>59</v>
      </c>
      <c r="H4" s="19">
        <v>19</v>
      </c>
      <c r="I4" s="19">
        <v>148</v>
      </c>
      <c r="J4" s="19" t="str">
        <f t="shared" si="0"/>
        <v>Jan</v>
      </c>
      <c r="K4" s="19" t="str">
        <f>IF(I4&lt;=Calc!$B$2,"Yes","No")</f>
        <v>No</v>
      </c>
      <c r="L4" s="19">
        <f>IF(AND(OR(Dashboard!$W$6="All",C4=Dashboard!$W$6),OR(Dashboard!$W$7="All",D4=Dashboard!$W$7)),1,0)</f>
        <v>1</v>
      </c>
      <c r="M4" s="19">
        <f>L4*IF(OR(Dashboard!$W$8="All",J4=Dashboard!$W$8),1,0)</f>
        <v>1</v>
      </c>
    </row>
    <row r="5" spans="1:13" x14ac:dyDescent="0.25">
      <c r="A5" s="23">
        <v>46023.663136574098</v>
      </c>
      <c r="B5" s="19" t="s">
        <v>35</v>
      </c>
      <c r="C5" s="19" t="s">
        <v>29</v>
      </c>
      <c r="D5" s="19" t="s">
        <v>53</v>
      </c>
      <c r="E5" s="19" t="s">
        <v>62</v>
      </c>
      <c r="F5" s="19" t="s">
        <v>63</v>
      </c>
      <c r="G5" s="19" t="s">
        <v>64</v>
      </c>
      <c r="H5" s="19">
        <v>6</v>
      </c>
      <c r="I5" s="19">
        <v>135</v>
      </c>
      <c r="J5" s="19" t="str">
        <f t="shared" si="0"/>
        <v>Jan</v>
      </c>
      <c r="K5" s="19" t="str">
        <f>IF(I5&lt;=Calc!$B$2,"Yes","No")</f>
        <v>No</v>
      </c>
      <c r="L5" s="19">
        <f>IF(AND(OR(Dashboard!$W$6="All",C5=Dashboard!$W$6),OR(Dashboard!$W$7="All",D5=Dashboard!$W$7)),1,0)</f>
        <v>1</v>
      </c>
      <c r="M5" s="19">
        <f>L5*IF(OR(Dashboard!$W$8="All",J5=Dashboard!$W$8),1,0)</f>
        <v>1</v>
      </c>
    </row>
    <row r="6" spans="1:13" x14ac:dyDescent="0.25">
      <c r="A6" s="23">
        <v>46023.698472222197</v>
      </c>
      <c r="B6" s="19" t="s">
        <v>33</v>
      </c>
      <c r="C6" s="19" t="s">
        <v>29</v>
      </c>
      <c r="D6" s="19" t="s">
        <v>65</v>
      </c>
      <c r="E6" s="19" t="s">
        <v>66</v>
      </c>
      <c r="F6" s="19" t="s">
        <v>67</v>
      </c>
      <c r="G6" s="19" t="s">
        <v>68</v>
      </c>
      <c r="H6" s="19">
        <v>25</v>
      </c>
      <c r="I6" s="19">
        <v>137</v>
      </c>
      <c r="J6" s="19" t="str">
        <f t="shared" si="0"/>
        <v>Jan</v>
      </c>
      <c r="K6" s="19" t="str">
        <f>IF(I6&lt;=Calc!$B$2,"Yes","No")</f>
        <v>No</v>
      </c>
      <c r="L6" s="19">
        <f>IF(AND(OR(Dashboard!$W$6="All",C6=Dashboard!$W$6),OR(Dashboard!$W$7="All",D6=Dashboard!$W$7)),1,0)</f>
        <v>1</v>
      </c>
      <c r="M6" s="19">
        <f>L6*IF(OR(Dashboard!$W$8="All",J6=Dashboard!$W$8),1,0)</f>
        <v>1</v>
      </c>
    </row>
    <row r="7" spans="1:13" x14ac:dyDescent="0.25">
      <c r="A7" s="23">
        <v>46023.700787037</v>
      </c>
      <c r="B7" s="19" t="s">
        <v>32</v>
      </c>
      <c r="C7" s="19" t="s">
        <v>25</v>
      </c>
      <c r="D7" s="19" t="s">
        <v>69</v>
      </c>
      <c r="E7" s="19" t="s">
        <v>70</v>
      </c>
      <c r="F7" s="19" t="s">
        <v>71</v>
      </c>
      <c r="G7" s="19" t="s">
        <v>72</v>
      </c>
      <c r="H7" s="19">
        <v>34</v>
      </c>
      <c r="I7" s="19">
        <v>115</v>
      </c>
      <c r="J7" s="19" t="str">
        <f t="shared" si="0"/>
        <v>Jan</v>
      </c>
      <c r="K7" s="19" t="str">
        <f>IF(I7&lt;=Calc!$B$2,"Yes","No")</f>
        <v>No</v>
      </c>
      <c r="L7" s="19">
        <f>IF(AND(OR(Dashboard!$W$6="All",C7=Dashboard!$W$6),OR(Dashboard!$W$7="All",D7=Dashboard!$W$7)),1,0)</f>
        <v>1</v>
      </c>
      <c r="M7" s="19">
        <f>L7*IF(OR(Dashboard!$W$8="All",J7=Dashboard!$W$8),1,0)</f>
        <v>1</v>
      </c>
    </row>
    <row r="8" spans="1:13" x14ac:dyDescent="0.25">
      <c r="A8" s="23">
        <v>46023.773726851898</v>
      </c>
      <c r="B8" s="19" t="s">
        <v>32</v>
      </c>
      <c r="C8" s="19" t="s">
        <v>27</v>
      </c>
      <c r="D8" s="19" t="s">
        <v>73</v>
      </c>
      <c r="E8" s="19" t="s">
        <v>74</v>
      </c>
      <c r="F8" s="19" t="s">
        <v>75</v>
      </c>
      <c r="G8" s="19" t="s">
        <v>72</v>
      </c>
      <c r="H8" s="19">
        <v>9</v>
      </c>
      <c r="I8" s="19">
        <v>102</v>
      </c>
      <c r="J8" s="19" t="str">
        <f t="shared" si="0"/>
        <v>Jan</v>
      </c>
      <c r="K8" s="19" t="str">
        <f>IF(I8&lt;=Calc!$B$2,"Yes","No")</f>
        <v>No</v>
      </c>
      <c r="L8" s="19">
        <f>IF(AND(OR(Dashboard!$W$6="All",C8=Dashboard!$W$6),OR(Dashboard!$W$7="All",D8=Dashboard!$W$7)),1,0)</f>
        <v>1</v>
      </c>
      <c r="M8" s="19">
        <f>L8*IF(OR(Dashboard!$W$8="All",J8=Dashboard!$W$8),1,0)</f>
        <v>1</v>
      </c>
    </row>
    <row r="9" spans="1:13" x14ac:dyDescent="0.25">
      <c r="A9" s="23">
        <v>46023.782789351899</v>
      </c>
      <c r="B9" s="19" t="s">
        <v>32</v>
      </c>
      <c r="C9" s="19" t="s">
        <v>29</v>
      </c>
      <c r="D9" s="19" t="s">
        <v>53</v>
      </c>
      <c r="E9" s="19" t="s">
        <v>76</v>
      </c>
      <c r="F9" s="19" t="s">
        <v>77</v>
      </c>
      <c r="G9" s="19" t="s">
        <v>72</v>
      </c>
      <c r="H9" s="19">
        <v>19</v>
      </c>
      <c r="I9" s="19">
        <v>135</v>
      </c>
      <c r="J9" s="19" t="str">
        <f t="shared" si="0"/>
        <v>Jan</v>
      </c>
      <c r="K9" s="19" t="str">
        <f>IF(I9&lt;=Calc!$B$2,"Yes","No")</f>
        <v>No</v>
      </c>
      <c r="L9" s="19">
        <f>IF(AND(OR(Dashboard!$W$6="All",C9=Dashboard!$W$6),OR(Dashboard!$W$7="All",D9=Dashboard!$W$7)),1,0)</f>
        <v>1</v>
      </c>
      <c r="M9" s="19">
        <f>L9*IF(OR(Dashboard!$W$8="All",J9=Dashboard!$W$8),1,0)</f>
        <v>1</v>
      </c>
    </row>
    <row r="10" spans="1:13" x14ac:dyDescent="0.25">
      <c r="A10" s="23">
        <v>46023.809166666702</v>
      </c>
      <c r="B10" s="19" t="s">
        <v>33</v>
      </c>
      <c r="C10" s="19" t="s">
        <v>25</v>
      </c>
      <c r="D10" s="19" t="s">
        <v>73</v>
      </c>
      <c r="E10" s="19" t="s">
        <v>78</v>
      </c>
      <c r="F10" s="19" t="s">
        <v>79</v>
      </c>
      <c r="G10" s="19" t="s">
        <v>68</v>
      </c>
      <c r="H10" s="19">
        <v>43</v>
      </c>
      <c r="I10" s="19">
        <v>177</v>
      </c>
      <c r="J10" s="19" t="str">
        <f t="shared" si="0"/>
        <v>Jan</v>
      </c>
      <c r="K10" s="19" t="str">
        <f>IF(I10&lt;=Calc!$B$2,"Yes","No")</f>
        <v>No</v>
      </c>
      <c r="L10" s="19">
        <f>IF(AND(OR(Dashboard!$W$6="All",C10=Dashboard!$W$6),OR(Dashboard!$W$7="All",D10=Dashboard!$W$7)),1,0)</f>
        <v>1</v>
      </c>
      <c r="M10" s="19">
        <f>L10*IF(OR(Dashboard!$W$8="All",J10=Dashboard!$W$8),1,0)</f>
        <v>1</v>
      </c>
    </row>
    <row r="11" spans="1:13" x14ac:dyDescent="0.25">
      <c r="A11" s="23">
        <v>46023.863900463002</v>
      </c>
      <c r="B11" s="19" t="s">
        <v>33</v>
      </c>
      <c r="C11" s="19" t="s">
        <v>27</v>
      </c>
      <c r="D11" s="19" t="s">
        <v>65</v>
      </c>
      <c r="E11" s="19" t="s">
        <v>80</v>
      </c>
      <c r="F11" s="19" t="s">
        <v>81</v>
      </c>
      <c r="G11" s="19" t="s">
        <v>68</v>
      </c>
      <c r="H11" s="19">
        <v>32</v>
      </c>
      <c r="I11" s="19">
        <v>37</v>
      </c>
      <c r="J11" s="19" t="str">
        <f t="shared" si="0"/>
        <v>Jan</v>
      </c>
      <c r="K11" s="19" t="str">
        <f>IF(I11&lt;=Calc!$B$2,"Yes","No")</f>
        <v>Yes</v>
      </c>
      <c r="L11" s="19">
        <f>IF(AND(OR(Dashboard!$W$6="All",C11=Dashboard!$W$6),OR(Dashboard!$W$7="All",D11=Dashboard!$W$7)),1,0)</f>
        <v>1</v>
      </c>
      <c r="M11" s="19">
        <f>L11*IF(OR(Dashboard!$W$8="All",J11=Dashboard!$W$8),1,0)</f>
        <v>1</v>
      </c>
    </row>
    <row r="12" spans="1:13" x14ac:dyDescent="0.25">
      <c r="A12" s="23">
        <v>46023.903379629599</v>
      </c>
      <c r="B12" s="19" t="s">
        <v>35</v>
      </c>
      <c r="C12" s="19" t="s">
        <v>25</v>
      </c>
      <c r="D12" s="19" t="s">
        <v>69</v>
      </c>
      <c r="E12" s="19" t="s">
        <v>82</v>
      </c>
      <c r="F12" s="19" t="s">
        <v>83</v>
      </c>
      <c r="G12" s="19" t="s">
        <v>64</v>
      </c>
      <c r="H12" s="19">
        <v>27</v>
      </c>
      <c r="I12" s="19">
        <v>127</v>
      </c>
      <c r="J12" s="19" t="str">
        <f t="shared" si="0"/>
        <v>Jan</v>
      </c>
      <c r="K12" s="19" t="str">
        <f>IF(I12&lt;=Calc!$B$2,"Yes","No")</f>
        <v>No</v>
      </c>
      <c r="L12" s="19">
        <f>IF(AND(OR(Dashboard!$W$6="All",C12=Dashboard!$W$6),OR(Dashboard!$W$7="All",D12=Dashboard!$W$7)),1,0)</f>
        <v>1</v>
      </c>
      <c r="M12" s="19">
        <f>L12*IF(OR(Dashboard!$W$8="All",J12=Dashboard!$W$8),1,0)</f>
        <v>1</v>
      </c>
    </row>
    <row r="13" spans="1:13" x14ac:dyDescent="0.25">
      <c r="A13" s="23">
        <v>46023.917511574102</v>
      </c>
      <c r="B13" s="19" t="s">
        <v>34</v>
      </c>
      <c r="C13" s="19" t="s">
        <v>29</v>
      </c>
      <c r="D13" s="19" t="s">
        <v>69</v>
      </c>
      <c r="E13" s="19" t="s">
        <v>84</v>
      </c>
      <c r="F13" s="19" t="s">
        <v>85</v>
      </c>
      <c r="G13" s="19" t="s">
        <v>56</v>
      </c>
      <c r="H13" s="19">
        <v>21</v>
      </c>
      <c r="I13" s="19">
        <v>164</v>
      </c>
      <c r="J13" s="19" t="str">
        <f t="shared" si="0"/>
        <v>Jan</v>
      </c>
      <c r="K13" s="19" t="str">
        <f>IF(I13&lt;=Calc!$B$2,"Yes","No")</f>
        <v>No</v>
      </c>
      <c r="L13" s="19">
        <f>IF(AND(OR(Dashboard!$W$6="All",C13=Dashboard!$W$6),OR(Dashboard!$W$7="All",D13=Dashboard!$W$7)),1,0)</f>
        <v>1</v>
      </c>
      <c r="M13" s="19">
        <f>L13*IF(OR(Dashboard!$W$8="All",J13=Dashboard!$W$8),1,0)</f>
        <v>1</v>
      </c>
    </row>
    <row r="14" spans="1:13" x14ac:dyDescent="0.25">
      <c r="A14" s="23">
        <v>46023.931562500002</v>
      </c>
      <c r="B14" s="19" t="s">
        <v>34</v>
      </c>
      <c r="C14" s="19" t="s">
        <v>25</v>
      </c>
      <c r="D14" s="19" t="s">
        <v>73</v>
      </c>
      <c r="E14" s="19" t="s">
        <v>86</v>
      </c>
      <c r="F14" s="19" t="s">
        <v>87</v>
      </c>
      <c r="G14" s="19" t="s">
        <v>56</v>
      </c>
      <c r="H14" s="19">
        <v>19</v>
      </c>
      <c r="I14" s="19">
        <v>104</v>
      </c>
      <c r="J14" s="19" t="str">
        <f t="shared" si="0"/>
        <v>Jan</v>
      </c>
      <c r="K14" s="19" t="str">
        <f>IF(I14&lt;=Calc!$B$2,"Yes","No")</f>
        <v>No</v>
      </c>
      <c r="L14" s="19">
        <f>IF(AND(OR(Dashboard!$W$6="All",C14=Dashboard!$W$6),OR(Dashboard!$W$7="All",D14=Dashboard!$W$7)),1,0)</f>
        <v>1</v>
      </c>
      <c r="M14" s="19">
        <f>L14*IF(OR(Dashboard!$W$8="All",J14=Dashboard!$W$8),1,0)</f>
        <v>1</v>
      </c>
    </row>
    <row r="15" spans="1:13" x14ac:dyDescent="0.25">
      <c r="A15" s="23">
        <v>46024.160891203697</v>
      </c>
      <c r="B15" s="19" t="s">
        <v>28</v>
      </c>
      <c r="C15" s="19" t="s">
        <v>29</v>
      </c>
      <c r="D15" s="19" t="s">
        <v>65</v>
      </c>
      <c r="E15" s="19" t="s">
        <v>88</v>
      </c>
      <c r="F15" s="19" t="s">
        <v>89</v>
      </c>
      <c r="G15" s="19" t="s">
        <v>90</v>
      </c>
      <c r="H15" s="19">
        <v>31</v>
      </c>
      <c r="I15" s="19">
        <v>135</v>
      </c>
      <c r="J15" s="19" t="str">
        <f t="shared" si="0"/>
        <v>Jan</v>
      </c>
      <c r="K15" s="19" t="str">
        <f>IF(I15&lt;=Calc!$B$2,"Yes","No")</f>
        <v>No</v>
      </c>
      <c r="L15" s="19">
        <f>IF(AND(OR(Dashboard!$W$6="All",C15=Dashboard!$W$6),OR(Dashboard!$W$7="All",D15=Dashboard!$W$7)),1,0)</f>
        <v>1</v>
      </c>
      <c r="M15" s="19">
        <f>L15*IF(OR(Dashboard!$W$8="All",J15=Dashboard!$W$8),1,0)</f>
        <v>1</v>
      </c>
    </row>
    <row r="16" spans="1:13" x14ac:dyDescent="0.25">
      <c r="A16" s="23">
        <v>46024.519050925897</v>
      </c>
      <c r="B16" s="19" t="s">
        <v>30</v>
      </c>
      <c r="C16" s="19" t="s">
        <v>25</v>
      </c>
      <c r="D16" s="19" t="s">
        <v>65</v>
      </c>
      <c r="E16" s="19" t="s">
        <v>91</v>
      </c>
      <c r="F16" s="19" t="s">
        <v>92</v>
      </c>
      <c r="G16" s="19" t="s">
        <v>93</v>
      </c>
      <c r="H16" s="19">
        <v>44</v>
      </c>
      <c r="I16" s="19">
        <v>172</v>
      </c>
      <c r="J16" s="19" t="str">
        <f t="shared" si="0"/>
        <v>Jan</v>
      </c>
      <c r="K16" s="19" t="str">
        <f>IF(I16&lt;=Calc!$B$2,"Yes","No")</f>
        <v>No</v>
      </c>
      <c r="L16" s="19">
        <f>IF(AND(OR(Dashboard!$W$6="All",C16=Dashboard!$W$6),OR(Dashboard!$W$7="All",D16=Dashboard!$W$7)),1,0)</f>
        <v>1</v>
      </c>
      <c r="M16" s="19">
        <f>L16*IF(OR(Dashboard!$W$8="All",J16=Dashboard!$W$8),1,0)</f>
        <v>1</v>
      </c>
    </row>
    <row r="17" spans="1:13" x14ac:dyDescent="0.25">
      <c r="A17" s="23">
        <v>46024.520243055602</v>
      </c>
      <c r="B17" s="19" t="s">
        <v>33</v>
      </c>
      <c r="C17" s="19" t="s">
        <v>27</v>
      </c>
      <c r="D17" s="19" t="s">
        <v>65</v>
      </c>
      <c r="E17" s="19" t="s">
        <v>94</v>
      </c>
      <c r="F17" s="19" t="s">
        <v>95</v>
      </c>
      <c r="G17" s="19" t="s">
        <v>68</v>
      </c>
      <c r="H17" s="19">
        <v>23</v>
      </c>
      <c r="I17" s="19">
        <v>135</v>
      </c>
      <c r="J17" s="19" t="str">
        <f t="shared" si="0"/>
        <v>Jan</v>
      </c>
      <c r="K17" s="19" t="str">
        <f>IF(I17&lt;=Calc!$B$2,"Yes","No")</f>
        <v>No</v>
      </c>
      <c r="L17" s="19">
        <f>IF(AND(OR(Dashboard!$W$6="All",C17=Dashboard!$W$6),OR(Dashboard!$W$7="All",D17=Dashboard!$W$7)),1,0)</f>
        <v>1</v>
      </c>
      <c r="M17" s="19">
        <f>L17*IF(OR(Dashboard!$W$8="All",J17=Dashboard!$W$8),1,0)</f>
        <v>1</v>
      </c>
    </row>
    <row r="18" spans="1:13" x14ac:dyDescent="0.25">
      <c r="A18" s="23">
        <v>46024.5769560185</v>
      </c>
      <c r="B18" s="19" t="s">
        <v>32</v>
      </c>
      <c r="C18" s="19" t="s">
        <v>29</v>
      </c>
      <c r="D18" s="19" t="s">
        <v>69</v>
      </c>
      <c r="E18" s="19" t="s">
        <v>96</v>
      </c>
      <c r="F18" s="19" t="s">
        <v>97</v>
      </c>
      <c r="G18" s="19" t="s">
        <v>72</v>
      </c>
      <c r="H18" s="19">
        <v>37</v>
      </c>
      <c r="I18" s="19">
        <v>154</v>
      </c>
      <c r="J18" s="19" t="str">
        <f t="shared" si="0"/>
        <v>Jan</v>
      </c>
      <c r="K18" s="19" t="str">
        <f>IF(I18&lt;=Calc!$B$2,"Yes","No")</f>
        <v>No</v>
      </c>
      <c r="L18" s="19">
        <f>IF(AND(OR(Dashboard!$W$6="All",C18=Dashboard!$W$6),OR(Dashboard!$W$7="All",D18=Dashboard!$W$7)),1,0)</f>
        <v>1</v>
      </c>
      <c r="M18" s="19">
        <f>L18*IF(OR(Dashboard!$W$8="All",J18=Dashboard!$W$8),1,0)</f>
        <v>1</v>
      </c>
    </row>
    <row r="19" spans="1:13" x14ac:dyDescent="0.25">
      <c r="A19" s="23">
        <v>46024.615277777797</v>
      </c>
      <c r="B19" s="19" t="s">
        <v>26</v>
      </c>
      <c r="C19" s="19" t="s">
        <v>25</v>
      </c>
      <c r="D19" s="19" t="s">
        <v>69</v>
      </c>
      <c r="E19" s="19" t="s">
        <v>98</v>
      </c>
      <c r="F19" s="19" t="s">
        <v>99</v>
      </c>
      <c r="G19" s="19" t="s">
        <v>100</v>
      </c>
      <c r="H19" s="19">
        <v>27</v>
      </c>
      <c r="I19" s="19">
        <v>122</v>
      </c>
      <c r="J19" s="19" t="str">
        <f t="shared" si="0"/>
        <v>Jan</v>
      </c>
      <c r="K19" s="19" t="str">
        <f>IF(I19&lt;=Calc!$B$2,"Yes","No")</f>
        <v>No</v>
      </c>
      <c r="L19" s="19">
        <f>IF(AND(OR(Dashboard!$W$6="All",C19=Dashboard!$W$6),OR(Dashboard!$W$7="All",D19=Dashboard!$W$7)),1,0)</f>
        <v>1</v>
      </c>
      <c r="M19" s="19">
        <f>L19*IF(OR(Dashboard!$W$8="All",J19=Dashboard!$W$8),1,0)</f>
        <v>1</v>
      </c>
    </row>
    <row r="20" spans="1:13" x14ac:dyDescent="0.25">
      <c r="A20" s="23">
        <v>46024.896354166704</v>
      </c>
      <c r="B20" s="19" t="s">
        <v>34</v>
      </c>
      <c r="C20" s="19" t="s">
        <v>25</v>
      </c>
      <c r="D20" s="19" t="s">
        <v>69</v>
      </c>
      <c r="E20" s="19" t="s">
        <v>101</v>
      </c>
      <c r="F20" s="19" t="s">
        <v>102</v>
      </c>
      <c r="G20" s="19" t="s">
        <v>56</v>
      </c>
      <c r="H20" s="19">
        <v>16</v>
      </c>
      <c r="I20" s="19">
        <v>168</v>
      </c>
      <c r="J20" s="19" t="str">
        <f t="shared" si="0"/>
        <v>Jan</v>
      </c>
      <c r="K20" s="19" t="str">
        <f>IF(I20&lt;=Calc!$B$2,"Yes","No")</f>
        <v>No</v>
      </c>
      <c r="L20" s="19">
        <f>IF(AND(OR(Dashboard!$W$6="All",C20=Dashboard!$W$6),OR(Dashboard!$W$7="All",D20=Dashboard!$W$7)),1,0)</f>
        <v>1</v>
      </c>
      <c r="M20" s="19">
        <f>L20*IF(OR(Dashboard!$W$8="All",J20=Dashboard!$W$8),1,0)</f>
        <v>1</v>
      </c>
    </row>
    <row r="21" spans="1:13" x14ac:dyDescent="0.25">
      <c r="A21" s="23">
        <v>46024.916724536997</v>
      </c>
      <c r="B21" s="19" t="s">
        <v>34</v>
      </c>
      <c r="C21" s="19" t="s">
        <v>25</v>
      </c>
      <c r="D21" s="19" t="s">
        <v>65</v>
      </c>
      <c r="E21" s="19" t="s">
        <v>103</v>
      </c>
      <c r="F21" s="19" t="s">
        <v>104</v>
      </c>
      <c r="G21" s="19" t="s">
        <v>56</v>
      </c>
      <c r="H21" s="19">
        <v>22</v>
      </c>
      <c r="I21" s="19">
        <v>104</v>
      </c>
      <c r="J21" s="19" t="str">
        <f t="shared" si="0"/>
        <v>Jan</v>
      </c>
      <c r="K21" s="19" t="str">
        <f>IF(I21&lt;=Calc!$B$2,"Yes","No")</f>
        <v>No</v>
      </c>
      <c r="L21" s="19">
        <f>IF(AND(OR(Dashboard!$W$6="All",C21=Dashboard!$W$6),OR(Dashboard!$W$7="All",D21=Dashboard!$W$7)),1,0)</f>
        <v>1</v>
      </c>
      <c r="M21" s="19">
        <f>L21*IF(OR(Dashboard!$W$8="All",J21=Dashboard!$W$8),1,0)</f>
        <v>1</v>
      </c>
    </row>
    <row r="22" spans="1:13" x14ac:dyDescent="0.25">
      <c r="A22" s="23">
        <v>46024.949374999997</v>
      </c>
      <c r="B22" s="19" t="s">
        <v>28</v>
      </c>
      <c r="C22" s="19" t="s">
        <v>29</v>
      </c>
      <c r="D22" s="19" t="s">
        <v>65</v>
      </c>
      <c r="E22" s="19" t="s">
        <v>105</v>
      </c>
      <c r="F22" s="19" t="s">
        <v>106</v>
      </c>
      <c r="G22" s="19" t="s">
        <v>90</v>
      </c>
      <c r="H22" s="19">
        <v>30</v>
      </c>
      <c r="I22" s="19">
        <v>142</v>
      </c>
      <c r="J22" s="19" t="str">
        <f t="shared" si="0"/>
        <v>Jan</v>
      </c>
      <c r="K22" s="19" t="str">
        <f>IF(I22&lt;=Calc!$B$2,"Yes","No")</f>
        <v>No</v>
      </c>
      <c r="L22" s="19">
        <f>IF(AND(OR(Dashboard!$W$6="All",C22=Dashboard!$W$6),OR(Dashboard!$W$7="All",D22=Dashboard!$W$7)),1,0)</f>
        <v>1</v>
      </c>
      <c r="M22" s="19">
        <f>L22*IF(OR(Dashboard!$W$8="All",J22=Dashboard!$W$8),1,0)</f>
        <v>1</v>
      </c>
    </row>
    <row r="23" spans="1:13" x14ac:dyDescent="0.25">
      <c r="A23" s="23">
        <v>46025.073599536998</v>
      </c>
      <c r="B23" s="19" t="s">
        <v>32</v>
      </c>
      <c r="C23" s="19" t="s">
        <v>29</v>
      </c>
      <c r="D23" s="19" t="s">
        <v>53</v>
      </c>
      <c r="E23" s="19" t="s">
        <v>107</v>
      </c>
      <c r="F23" s="19" t="s">
        <v>108</v>
      </c>
      <c r="G23" s="19" t="s">
        <v>72</v>
      </c>
      <c r="H23" s="19">
        <v>21</v>
      </c>
      <c r="I23" s="19">
        <v>109</v>
      </c>
      <c r="J23" s="19" t="str">
        <f t="shared" si="0"/>
        <v>Jan</v>
      </c>
      <c r="K23" s="19" t="str">
        <f>IF(I23&lt;=Calc!$B$2,"Yes","No")</f>
        <v>No</v>
      </c>
      <c r="L23" s="19">
        <f>IF(AND(OR(Dashboard!$W$6="All",C23=Dashboard!$W$6),OR(Dashboard!$W$7="All",D23=Dashboard!$W$7)),1,0)</f>
        <v>1</v>
      </c>
      <c r="M23" s="19">
        <f>L23*IF(OR(Dashboard!$W$8="All",J23=Dashboard!$W$8),1,0)</f>
        <v>1</v>
      </c>
    </row>
    <row r="24" spans="1:13" x14ac:dyDescent="0.25">
      <c r="A24" s="23">
        <v>46025.242893518502</v>
      </c>
      <c r="B24" s="19" t="s">
        <v>26</v>
      </c>
      <c r="C24" s="19" t="s">
        <v>27</v>
      </c>
      <c r="D24" s="19" t="s">
        <v>69</v>
      </c>
      <c r="E24" s="19" t="s">
        <v>109</v>
      </c>
      <c r="F24" s="19" t="s">
        <v>110</v>
      </c>
      <c r="G24" s="19" t="s">
        <v>100</v>
      </c>
      <c r="H24" s="19">
        <v>9</v>
      </c>
      <c r="I24" s="19">
        <v>78</v>
      </c>
      <c r="J24" s="19" t="str">
        <f t="shared" si="0"/>
        <v>Jan</v>
      </c>
      <c r="K24" s="19" t="str">
        <f>IF(I24&lt;=Calc!$B$2,"Yes","No")</f>
        <v>No</v>
      </c>
      <c r="L24" s="19">
        <f>IF(AND(OR(Dashboard!$W$6="All",C24=Dashboard!$W$6),OR(Dashboard!$W$7="All",D24=Dashboard!$W$7)),1,0)</f>
        <v>1</v>
      </c>
      <c r="M24" s="19">
        <f>L24*IF(OR(Dashboard!$W$8="All",J24=Dashboard!$W$8),1,0)</f>
        <v>1</v>
      </c>
    </row>
    <row r="25" spans="1:13" x14ac:dyDescent="0.25">
      <c r="A25" s="23">
        <v>46025.4296412037</v>
      </c>
      <c r="B25" s="19" t="s">
        <v>36</v>
      </c>
      <c r="C25" s="19" t="s">
        <v>27</v>
      </c>
      <c r="D25" s="19" t="s">
        <v>73</v>
      </c>
      <c r="E25" s="19" t="s">
        <v>111</v>
      </c>
      <c r="F25" s="19" t="s">
        <v>112</v>
      </c>
      <c r="G25" s="19" t="s">
        <v>59</v>
      </c>
      <c r="H25" s="19">
        <v>20</v>
      </c>
      <c r="I25" s="19">
        <v>93</v>
      </c>
      <c r="J25" s="19" t="str">
        <f t="shared" si="0"/>
        <v>Jan</v>
      </c>
      <c r="K25" s="19" t="str">
        <f>IF(I25&lt;=Calc!$B$2,"Yes","No")</f>
        <v>No</v>
      </c>
      <c r="L25" s="19">
        <f>IF(AND(OR(Dashboard!$W$6="All",C25=Dashboard!$W$6),OR(Dashboard!$W$7="All",D25=Dashboard!$W$7)),1,0)</f>
        <v>1</v>
      </c>
      <c r="M25" s="19">
        <f>L25*IF(OR(Dashboard!$W$8="All",J25=Dashboard!$W$8),1,0)</f>
        <v>1</v>
      </c>
    </row>
    <row r="26" spans="1:13" x14ac:dyDescent="0.25">
      <c r="A26" s="23">
        <v>46025.493125000001</v>
      </c>
      <c r="B26" s="19" t="s">
        <v>35</v>
      </c>
      <c r="C26" s="19" t="s">
        <v>27</v>
      </c>
      <c r="D26" s="19" t="s">
        <v>53</v>
      </c>
      <c r="E26" s="19" t="s">
        <v>113</v>
      </c>
      <c r="F26" s="19" t="s">
        <v>114</v>
      </c>
      <c r="G26" s="19" t="s">
        <v>64</v>
      </c>
      <c r="H26" s="19">
        <v>19</v>
      </c>
      <c r="I26" s="19">
        <v>75</v>
      </c>
      <c r="J26" s="19" t="str">
        <f t="shared" si="0"/>
        <v>Jan</v>
      </c>
      <c r="K26" s="19" t="str">
        <f>IF(I26&lt;=Calc!$B$2,"Yes","No")</f>
        <v>No</v>
      </c>
      <c r="L26" s="19">
        <f>IF(AND(OR(Dashboard!$W$6="All",C26=Dashboard!$W$6),OR(Dashboard!$W$7="All",D26=Dashboard!$W$7)),1,0)</f>
        <v>1</v>
      </c>
      <c r="M26" s="19">
        <f>L26*IF(OR(Dashboard!$W$8="All",J26=Dashboard!$W$8),1,0)</f>
        <v>1</v>
      </c>
    </row>
    <row r="27" spans="1:13" x14ac:dyDescent="0.25">
      <c r="A27" s="23">
        <v>46025.802939814799</v>
      </c>
      <c r="B27" s="19" t="s">
        <v>30</v>
      </c>
      <c r="C27" s="19" t="s">
        <v>31</v>
      </c>
      <c r="D27" s="19" t="s">
        <v>69</v>
      </c>
      <c r="E27" s="19" t="s">
        <v>115</v>
      </c>
      <c r="F27" s="19" t="s">
        <v>116</v>
      </c>
      <c r="G27" s="19" t="s">
        <v>93</v>
      </c>
      <c r="H27" s="19">
        <v>23</v>
      </c>
      <c r="I27" s="19">
        <v>59</v>
      </c>
      <c r="J27" s="19" t="str">
        <f t="shared" si="0"/>
        <v>Jan</v>
      </c>
      <c r="K27" s="19" t="str">
        <f>IF(I27&lt;=Calc!$B$2,"Yes","No")</f>
        <v>Yes</v>
      </c>
      <c r="L27" s="19">
        <f>IF(AND(OR(Dashboard!$W$6="All",C27=Dashboard!$W$6),OR(Dashboard!$W$7="All",D27=Dashboard!$W$7)),1,0)</f>
        <v>1</v>
      </c>
      <c r="M27" s="19">
        <f>L27*IF(OR(Dashboard!$W$8="All",J27=Dashboard!$W$8),1,0)</f>
        <v>1</v>
      </c>
    </row>
    <row r="28" spans="1:13" x14ac:dyDescent="0.25">
      <c r="A28" s="23">
        <v>46025.860844907402</v>
      </c>
      <c r="B28" s="19" t="s">
        <v>33</v>
      </c>
      <c r="C28" s="19" t="s">
        <v>27</v>
      </c>
      <c r="D28" s="19" t="s">
        <v>73</v>
      </c>
      <c r="E28" s="19" t="s">
        <v>117</v>
      </c>
      <c r="F28" s="19" t="s">
        <v>118</v>
      </c>
      <c r="G28" s="19" t="s">
        <v>68</v>
      </c>
      <c r="H28" s="19">
        <v>30</v>
      </c>
      <c r="I28" s="19">
        <v>46</v>
      </c>
      <c r="J28" s="19" t="str">
        <f t="shared" si="0"/>
        <v>Jan</v>
      </c>
      <c r="K28" s="19" t="str">
        <f>IF(I28&lt;=Calc!$B$2,"Yes","No")</f>
        <v>Yes</v>
      </c>
      <c r="L28" s="19">
        <f>IF(AND(OR(Dashboard!$W$6="All",C28=Dashboard!$W$6),OR(Dashboard!$W$7="All",D28=Dashboard!$W$7)),1,0)</f>
        <v>1</v>
      </c>
      <c r="M28" s="19">
        <f>L28*IF(OR(Dashboard!$W$8="All",J28=Dashboard!$W$8),1,0)</f>
        <v>1</v>
      </c>
    </row>
    <row r="29" spans="1:13" x14ac:dyDescent="0.25">
      <c r="A29" s="23">
        <v>46026.012708333299</v>
      </c>
      <c r="B29" s="19" t="s">
        <v>26</v>
      </c>
      <c r="C29" s="19" t="s">
        <v>25</v>
      </c>
      <c r="D29" s="19" t="s">
        <v>65</v>
      </c>
      <c r="E29" s="19" t="s">
        <v>119</v>
      </c>
      <c r="F29" s="19" t="s">
        <v>120</v>
      </c>
      <c r="G29" s="19" t="s">
        <v>100</v>
      </c>
      <c r="H29" s="19">
        <v>32</v>
      </c>
      <c r="I29" s="19">
        <v>109</v>
      </c>
      <c r="J29" s="19" t="str">
        <f t="shared" si="0"/>
        <v>Jan</v>
      </c>
      <c r="K29" s="19" t="str">
        <f>IF(I29&lt;=Calc!$B$2,"Yes","No")</f>
        <v>No</v>
      </c>
      <c r="L29" s="19">
        <f>IF(AND(OR(Dashboard!$W$6="All",C29=Dashboard!$W$6),OR(Dashboard!$W$7="All",D29=Dashboard!$W$7)),1,0)</f>
        <v>1</v>
      </c>
      <c r="M29" s="19">
        <f>L29*IF(OR(Dashboard!$W$8="All",J29=Dashboard!$W$8),1,0)</f>
        <v>1</v>
      </c>
    </row>
    <row r="30" spans="1:13" x14ac:dyDescent="0.25">
      <c r="A30" s="23">
        <v>46026.590763888897</v>
      </c>
      <c r="B30" s="19" t="s">
        <v>30</v>
      </c>
      <c r="C30" s="19" t="s">
        <v>27</v>
      </c>
      <c r="D30" s="19" t="s">
        <v>65</v>
      </c>
      <c r="E30" s="19" t="s">
        <v>121</v>
      </c>
      <c r="F30" s="19" t="s">
        <v>122</v>
      </c>
      <c r="G30" s="19" t="s">
        <v>93</v>
      </c>
      <c r="H30" s="19">
        <v>9</v>
      </c>
      <c r="I30" s="19">
        <v>14</v>
      </c>
      <c r="J30" s="19" t="str">
        <f t="shared" si="0"/>
        <v>Jan</v>
      </c>
      <c r="K30" s="19" t="str">
        <f>IF(I30&lt;=Calc!$B$2,"Yes","No")</f>
        <v>Yes</v>
      </c>
      <c r="L30" s="19">
        <f>IF(AND(OR(Dashboard!$W$6="All",C30=Dashboard!$W$6),OR(Dashboard!$W$7="All",D30=Dashboard!$W$7)),1,0)</f>
        <v>1</v>
      </c>
      <c r="M30" s="19">
        <f>L30*IF(OR(Dashboard!$W$8="All",J30=Dashboard!$W$8),1,0)</f>
        <v>1</v>
      </c>
    </row>
    <row r="31" spans="1:13" x14ac:dyDescent="0.25">
      <c r="A31" s="23">
        <v>46026.627627314803</v>
      </c>
      <c r="B31" s="19" t="s">
        <v>28</v>
      </c>
      <c r="C31" s="19" t="s">
        <v>27</v>
      </c>
      <c r="D31" s="19" t="s">
        <v>53</v>
      </c>
      <c r="E31" s="19" t="s">
        <v>123</v>
      </c>
      <c r="F31" s="19" t="s">
        <v>124</v>
      </c>
      <c r="G31" s="19" t="s">
        <v>90</v>
      </c>
      <c r="H31" s="19">
        <v>26</v>
      </c>
      <c r="I31" s="19">
        <v>119</v>
      </c>
      <c r="J31" s="19" t="str">
        <f t="shared" si="0"/>
        <v>Jan</v>
      </c>
      <c r="K31" s="19" t="str">
        <f>IF(I31&lt;=Calc!$B$2,"Yes","No")</f>
        <v>No</v>
      </c>
      <c r="L31" s="19">
        <f>IF(AND(OR(Dashboard!$W$6="All",C31=Dashboard!$W$6),OR(Dashboard!$W$7="All",D31=Dashboard!$W$7)),1,0)</f>
        <v>1</v>
      </c>
      <c r="M31" s="19">
        <f>L31*IF(OR(Dashboard!$W$8="All",J31=Dashboard!$W$8),1,0)</f>
        <v>1</v>
      </c>
    </row>
    <row r="32" spans="1:13" x14ac:dyDescent="0.25">
      <c r="A32" s="23">
        <v>46026.873402777797</v>
      </c>
      <c r="B32" s="19" t="s">
        <v>36</v>
      </c>
      <c r="C32" s="19" t="s">
        <v>29</v>
      </c>
      <c r="D32" s="19" t="s">
        <v>73</v>
      </c>
      <c r="E32" s="19" t="s">
        <v>125</v>
      </c>
      <c r="F32" s="19" t="s">
        <v>126</v>
      </c>
      <c r="G32" s="19" t="s">
        <v>59</v>
      </c>
      <c r="H32" s="19">
        <v>14</v>
      </c>
      <c r="I32" s="19">
        <v>186</v>
      </c>
      <c r="J32" s="19" t="str">
        <f t="shared" si="0"/>
        <v>Jan</v>
      </c>
      <c r="K32" s="19" t="str">
        <f>IF(I32&lt;=Calc!$B$2,"Yes","No")</f>
        <v>No</v>
      </c>
      <c r="L32" s="19">
        <f>IF(AND(OR(Dashboard!$W$6="All",C32=Dashboard!$W$6),OR(Dashboard!$W$7="All",D32=Dashboard!$W$7)),1,0)</f>
        <v>1</v>
      </c>
      <c r="M32" s="19">
        <f>L32*IF(OR(Dashboard!$W$8="All",J32=Dashboard!$W$8),1,0)</f>
        <v>1</v>
      </c>
    </row>
    <row r="33" spans="1:13" x14ac:dyDescent="0.25">
      <c r="A33" s="23">
        <v>46026.908356481501</v>
      </c>
      <c r="B33" s="19" t="s">
        <v>26</v>
      </c>
      <c r="C33" s="19" t="s">
        <v>27</v>
      </c>
      <c r="D33" s="19" t="s">
        <v>53</v>
      </c>
      <c r="E33" s="19" t="s">
        <v>127</v>
      </c>
      <c r="F33" s="19" t="s">
        <v>128</v>
      </c>
      <c r="G33" s="19" t="s">
        <v>100</v>
      </c>
      <c r="H33" s="19">
        <v>6</v>
      </c>
      <c r="I33" s="19">
        <v>47</v>
      </c>
      <c r="J33" s="19" t="str">
        <f t="shared" si="0"/>
        <v>Jan</v>
      </c>
      <c r="K33" s="19" t="str">
        <f>IF(I33&lt;=Calc!$B$2,"Yes","No")</f>
        <v>Yes</v>
      </c>
      <c r="L33" s="19">
        <f>IF(AND(OR(Dashboard!$W$6="All",C33=Dashboard!$W$6),OR(Dashboard!$W$7="All",D33=Dashboard!$W$7)),1,0)</f>
        <v>1</v>
      </c>
      <c r="M33" s="19">
        <f>L33*IF(OR(Dashboard!$W$8="All",J33=Dashboard!$W$8),1,0)</f>
        <v>1</v>
      </c>
    </row>
    <row r="34" spans="1:13" x14ac:dyDescent="0.25">
      <c r="A34" s="23">
        <v>46026.915625000001</v>
      </c>
      <c r="B34" s="19" t="s">
        <v>35</v>
      </c>
      <c r="C34" s="19" t="s">
        <v>29</v>
      </c>
      <c r="D34" s="19" t="s">
        <v>73</v>
      </c>
      <c r="E34" s="19" t="s">
        <v>129</v>
      </c>
      <c r="F34" s="19" t="s">
        <v>130</v>
      </c>
      <c r="G34" s="19" t="s">
        <v>64</v>
      </c>
      <c r="H34" s="19">
        <v>37</v>
      </c>
      <c r="I34" s="19">
        <v>115</v>
      </c>
      <c r="J34" s="19" t="str">
        <f t="shared" si="0"/>
        <v>Jan</v>
      </c>
      <c r="K34" s="19" t="str">
        <f>IF(I34&lt;=Calc!$B$2,"Yes","No")</f>
        <v>No</v>
      </c>
      <c r="L34" s="19">
        <f>IF(AND(OR(Dashboard!$W$6="All",C34=Dashboard!$W$6),OR(Dashboard!$W$7="All",D34=Dashboard!$W$7)),1,0)</f>
        <v>1</v>
      </c>
      <c r="M34" s="19">
        <f>L34*IF(OR(Dashboard!$W$8="All",J34=Dashboard!$W$8),1,0)</f>
        <v>1</v>
      </c>
    </row>
    <row r="35" spans="1:13" x14ac:dyDescent="0.25">
      <c r="A35" s="23">
        <v>46027.095844907402</v>
      </c>
      <c r="B35" s="19" t="s">
        <v>32</v>
      </c>
      <c r="C35" s="19" t="s">
        <v>25</v>
      </c>
      <c r="D35" s="19" t="s">
        <v>73</v>
      </c>
      <c r="E35" s="19" t="s">
        <v>131</v>
      </c>
      <c r="F35" s="19" t="s">
        <v>132</v>
      </c>
      <c r="G35" s="19" t="s">
        <v>72</v>
      </c>
      <c r="H35" s="19">
        <v>35</v>
      </c>
      <c r="I35" s="19">
        <v>148</v>
      </c>
      <c r="J35" s="19" t="str">
        <f t="shared" si="0"/>
        <v>Jan</v>
      </c>
      <c r="K35" s="19" t="str">
        <f>IF(I35&lt;=Calc!$B$2,"Yes","No")</f>
        <v>No</v>
      </c>
      <c r="L35" s="19">
        <f>IF(AND(OR(Dashboard!$W$6="All",C35=Dashboard!$W$6),OR(Dashboard!$W$7="All",D35=Dashboard!$W$7)),1,0)</f>
        <v>1</v>
      </c>
      <c r="M35" s="19">
        <f>L35*IF(OR(Dashboard!$W$8="All",J35=Dashboard!$W$8),1,0)</f>
        <v>1</v>
      </c>
    </row>
    <row r="36" spans="1:13" x14ac:dyDescent="0.25">
      <c r="A36" s="23">
        <v>46027.217430555596</v>
      </c>
      <c r="B36" s="19" t="s">
        <v>34</v>
      </c>
      <c r="C36" s="19" t="s">
        <v>27</v>
      </c>
      <c r="D36" s="19" t="s">
        <v>69</v>
      </c>
      <c r="E36" s="19" t="s">
        <v>133</v>
      </c>
      <c r="F36" s="19" t="s">
        <v>134</v>
      </c>
      <c r="G36" s="19" t="s">
        <v>56</v>
      </c>
      <c r="H36" s="19">
        <v>5</v>
      </c>
      <c r="I36" s="19">
        <v>61</v>
      </c>
      <c r="J36" s="19" t="str">
        <f t="shared" si="0"/>
        <v>Jan</v>
      </c>
      <c r="K36" s="19" t="str">
        <f>IF(I36&lt;=Calc!$B$2,"Yes","No")</f>
        <v>No</v>
      </c>
      <c r="L36" s="19">
        <f>IF(AND(OR(Dashboard!$W$6="All",C36=Dashboard!$W$6),OR(Dashboard!$W$7="All",D36=Dashboard!$W$7)),1,0)</f>
        <v>1</v>
      </c>
      <c r="M36" s="19">
        <f>L36*IF(OR(Dashboard!$W$8="All",J36=Dashboard!$W$8),1,0)</f>
        <v>1</v>
      </c>
    </row>
    <row r="37" spans="1:13" x14ac:dyDescent="0.25">
      <c r="A37" s="23">
        <v>46027.574537036999</v>
      </c>
      <c r="B37" s="19" t="s">
        <v>26</v>
      </c>
      <c r="C37" s="19" t="s">
        <v>25</v>
      </c>
      <c r="D37" s="19" t="s">
        <v>53</v>
      </c>
      <c r="E37" s="19" t="s">
        <v>135</v>
      </c>
      <c r="F37" s="19" t="s">
        <v>136</v>
      </c>
      <c r="G37" s="19" t="s">
        <v>100</v>
      </c>
      <c r="H37" s="19">
        <v>25</v>
      </c>
      <c r="I37" s="19">
        <v>144</v>
      </c>
      <c r="J37" s="19" t="str">
        <f t="shared" si="0"/>
        <v>Jan</v>
      </c>
      <c r="K37" s="19" t="str">
        <f>IF(I37&lt;=Calc!$B$2,"Yes","No")</f>
        <v>No</v>
      </c>
      <c r="L37" s="19">
        <f>IF(AND(OR(Dashboard!$W$6="All",C37=Dashboard!$W$6),OR(Dashboard!$W$7="All",D37=Dashboard!$W$7)),1,0)</f>
        <v>1</v>
      </c>
      <c r="M37" s="19">
        <f>L37*IF(OR(Dashboard!$W$8="All",J37=Dashboard!$W$8),1,0)</f>
        <v>1</v>
      </c>
    </row>
    <row r="38" spans="1:13" x14ac:dyDescent="0.25">
      <c r="A38" s="23">
        <v>46027.761712963002</v>
      </c>
      <c r="B38" s="19" t="s">
        <v>34</v>
      </c>
      <c r="C38" s="19" t="s">
        <v>31</v>
      </c>
      <c r="D38" s="19" t="s">
        <v>69</v>
      </c>
      <c r="E38" s="19" t="s">
        <v>137</v>
      </c>
      <c r="F38" s="19" t="s">
        <v>138</v>
      </c>
      <c r="G38" s="19" t="s">
        <v>56</v>
      </c>
      <c r="H38" s="19">
        <v>13</v>
      </c>
      <c r="I38" s="19">
        <v>111</v>
      </c>
      <c r="J38" s="19" t="str">
        <f t="shared" si="0"/>
        <v>Jan</v>
      </c>
      <c r="K38" s="19" t="str">
        <f>IF(I38&lt;=Calc!$B$2,"Yes","No")</f>
        <v>No</v>
      </c>
      <c r="L38" s="19">
        <f>IF(AND(OR(Dashboard!$W$6="All",C38=Dashboard!$W$6),OR(Dashboard!$W$7="All",D38=Dashboard!$W$7)),1,0)</f>
        <v>1</v>
      </c>
      <c r="M38" s="19">
        <f>L38*IF(OR(Dashboard!$W$8="All",J38=Dashboard!$W$8),1,0)</f>
        <v>1</v>
      </c>
    </row>
    <row r="39" spans="1:13" x14ac:dyDescent="0.25">
      <c r="A39" s="23">
        <v>46027.8187847222</v>
      </c>
      <c r="B39" s="19" t="s">
        <v>32</v>
      </c>
      <c r="C39" s="19" t="s">
        <v>25</v>
      </c>
      <c r="D39" s="19" t="s">
        <v>69</v>
      </c>
      <c r="E39" s="19" t="s">
        <v>139</v>
      </c>
      <c r="F39" s="19" t="s">
        <v>140</v>
      </c>
      <c r="G39" s="19" t="s">
        <v>72</v>
      </c>
      <c r="H39" s="19">
        <v>30</v>
      </c>
      <c r="I39" s="19">
        <v>155</v>
      </c>
      <c r="J39" s="19" t="str">
        <f t="shared" si="0"/>
        <v>Jan</v>
      </c>
      <c r="K39" s="19" t="str">
        <f>IF(I39&lt;=Calc!$B$2,"Yes","No")</f>
        <v>No</v>
      </c>
      <c r="L39" s="19">
        <f>IF(AND(OR(Dashboard!$W$6="All",C39=Dashboard!$W$6),OR(Dashboard!$W$7="All",D39=Dashboard!$W$7)),1,0)</f>
        <v>1</v>
      </c>
      <c r="M39" s="19">
        <f>L39*IF(OR(Dashboard!$W$8="All",J39=Dashboard!$W$8),1,0)</f>
        <v>1</v>
      </c>
    </row>
    <row r="40" spans="1:13" x14ac:dyDescent="0.25">
      <c r="A40" s="23">
        <v>46027.916423611103</v>
      </c>
      <c r="B40" s="19" t="s">
        <v>30</v>
      </c>
      <c r="C40" s="19" t="s">
        <v>29</v>
      </c>
      <c r="D40" s="19" t="s">
        <v>73</v>
      </c>
      <c r="E40" s="19" t="s">
        <v>141</v>
      </c>
      <c r="F40" s="19" t="s">
        <v>142</v>
      </c>
      <c r="G40" s="19" t="s">
        <v>93</v>
      </c>
      <c r="H40" s="19">
        <v>47</v>
      </c>
      <c r="I40" s="19">
        <v>216</v>
      </c>
      <c r="J40" s="19" t="str">
        <f t="shared" si="0"/>
        <v>Jan</v>
      </c>
      <c r="K40" s="19" t="str">
        <f>IF(I40&lt;=Calc!$B$2,"Yes","No")</f>
        <v>No</v>
      </c>
      <c r="L40" s="19">
        <f>IF(AND(OR(Dashboard!$W$6="All",C40=Dashboard!$W$6),OR(Dashboard!$W$7="All",D40=Dashboard!$W$7)),1,0)</f>
        <v>1</v>
      </c>
      <c r="M40" s="19">
        <f>L40*IF(OR(Dashboard!$W$8="All",J40=Dashboard!$W$8),1,0)</f>
        <v>1</v>
      </c>
    </row>
    <row r="41" spans="1:13" x14ac:dyDescent="0.25">
      <c r="A41" s="23">
        <v>46028.053819444503</v>
      </c>
      <c r="B41" s="19" t="s">
        <v>30</v>
      </c>
      <c r="C41" s="19" t="s">
        <v>29</v>
      </c>
      <c r="D41" s="19" t="s">
        <v>69</v>
      </c>
      <c r="E41" s="19" t="s">
        <v>143</v>
      </c>
      <c r="F41" s="19" t="s">
        <v>144</v>
      </c>
      <c r="G41" s="19" t="s">
        <v>93</v>
      </c>
      <c r="H41" s="19">
        <v>34</v>
      </c>
      <c r="I41" s="19">
        <v>101</v>
      </c>
      <c r="J41" s="19" t="str">
        <f t="shared" si="0"/>
        <v>Jan</v>
      </c>
      <c r="K41" s="19" t="str">
        <f>IF(I41&lt;=Calc!$B$2,"Yes","No")</f>
        <v>No</v>
      </c>
      <c r="L41" s="19">
        <f>IF(AND(OR(Dashboard!$W$6="All",C41=Dashboard!$W$6),OR(Dashboard!$W$7="All",D41=Dashboard!$W$7)),1,0)</f>
        <v>1</v>
      </c>
      <c r="M41" s="19">
        <f>L41*IF(OR(Dashboard!$W$8="All",J41=Dashboard!$W$8),1,0)</f>
        <v>1</v>
      </c>
    </row>
    <row r="42" spans="1:13" x14ac:dyDescent="0.25">
      <c r="A42" s="23">
        <v>46028.113958333299</v>
      </c>
      <c r="B42" s="19" t="s">
        <v>33</v>
      </c>
      <c r="C42" s="19" t="s">
        <v>27</v>
      </c>
      <c r="D42" s="19" t="s">
        <v>73</v>
      </c>
      <c r="E42" s="19" t="s">
        <v>145</v>
      </c>
      <c r="F42" s="19" t="s">
        <v>146</v>
      </c>
      <c r="G42" s="19" t="s">
        <v>68</v>
      </c>
      <c r="H42" s="19">
        <v>25</v>
      </c>
      <c r="I42" s="19">
        <v>115</v>
      </c>
      <c r="J42" s="19" t="str">
        <f t="shared" si="0"/>
        <v>Jan</v>
      </c>
      <c r="K42" s="19" t="str">
        <f>IF(I42&lt;=Calc!$B$2,"Yes","No")</f>
        <v>No</v>
      </c>
      <c r="L42" s="19">
        <f>IF(AND(OR(Dashboard!$W$6="All",C42=Dashboard!$W$6),OR(Dashboard!$W$7="All",D42=Dashboard!$W$7)),1,0)</f>
        <v>1</v>
      </c>
      <c r="M42" s="19">
        <f>L42*IF(OR(Dashboard!$W$8="All",J42=Dashboard!$W$8),1,0)</f>
        <v>1</v>
      </c>
    </row>
    <row r="43" spans="1:13" x14ac:dyDescent="0.25">
      <c r="A43" s="23">
        <v>46028.255300925899</v>
      </c>
      <c r="B43" s="19" t="s">
        <v>28</v>
      </c>
      <c r="C43" s="19" t="s">
        <v>27</v>
      </c>
      <c r="D43" s="19" t="s">
        <v>65</v>
      </c>
      <c r="E43" s="19" t="s">
        <v>147</v>
      </c>
      <c r="F43" s="19" t="s">
        <v>148</v>
      </c>
      <c r="G43" s="19" t="s">
        <v>90</v>
      </c>
      <c r="H43" s="19">
        <v>5</v>
      </c>
      <c r="I43" s="19">
        <v>33</v>
      </c>
      <c r="J43" s="19" t="str">
        <f t="shared" si="0"/>
        <v>Jan</v>
      </c>
      <c r="K43" s="19" t="str">
        <f>IF(I43&lt;=Calc!$B$2,"Yes","No")</f>
        <v>Yes</v>
      </c>
      <c r="L43" s="19">
        <f>IF(AND(OR(Dashboard!$W$6="All",C43=Dashboard!$W$6),OR(Dashboard!$W$7="All",D43=Dashboard!$W$7)),1,0)</f>
        <v>1</v>
      </c>
      <c r="M43" s="19">
        <f>L43*IF(OR(Dashboard!$W$8="All",J43=Dashboard!$W$8),1,0)</f>
        <v>1</v>
      </c>
    </row>
    <row r="44" spans="1:13" x14ac:dyDescent="0.25">
      <c r="A44" s="23">
        <v>46028.342743055597</v>
      </c>
      <c r="B44" s="19" t="s">
        <v>28</v>
      </c>
      <c r="C44" s="19" t="s">
        <v>29</v>
      </c>
      <c r="D44" s="19" t="s">
        <v>65</v>
      </c>
      <c r="E44" s="19" t="s">
        <v>149</v>
      </c>
      <c r="F44" s="19" t="s">
        <v>150</v>
      </c>
      <c r="G44" s="19" t="s">
        <v>90</v>
      </c>
      <c r="H44" s="19">
        <v>34</v>
      </c>
      <c r="I44" s="19">
        <v>147</v>
      </c>
      <c r="J44" s="19" t="str">
        <f t="shared" si="0"/>
        <v>Jan</v>
      </c>
      <c r="K44" s="19" t="str">
        <f>IF(I44&lt;=Calc!$B$2,"Yes","No")</f>
        <v>No</v>
      </c>
      <c r="L44" s="19">
        <f>IF(AND(OR(Dashboard!$W$6="All",C44=Dashboard!$W$6),OR(Dashboard!$W$7="All",D44=Dashboard!$W$7)),1,0)</f>
        <v>1</v>
      </c>
      <c r="M44" s="19">
        <f>L44*IF(OR(Dashboard!$W$8="All",J44=Dashboard!$W$8),1,0)</f>
        <v>1</v>
      </c>
    </row>
    <row r="45" spans="1:13" x14ac:dyDescent="0.25">
      <c r="A45" s="23">
        <v>46028.428182870397</v>
      </c>
      <c r="B45" s="19" t="s">
        <v>30</v>
      </c>
      <c r="C45" s="19" t="s">
        <v>29</v>
      </c>
      <c r="D45" s="19" t="s">
        <v>53</v>
      </c>
      <c r="E45" s="19" t="s">
        <v>151</v>
      </c>
      <c r="F45" s="19" t="s">
        <v>152</v>
      </c>
      <c r="G45" s="19" t="s">
        <v>93</v>
      </c>
      <c r="H45" s="19">
        <v>28</v>
      </c>
      <c r="I45" s="19">
        <v>202</v>
      </c>
      <c r="J45" s="19" t="str">
        <f t="shared" si="0"/>
        <v>Jan</v>
      </c>
      <c r="K45" s="19" t="str">
        <f>IF(I45&lt;=Calc!$B$2,"Yes","No")</f>
        <v>No</v>
      </c>
      <c r="L45" s="19">
        <f>IF(AND(OR(Dashboard!$W$6="All",C45=Dashboard!$W$6),OR(Dashboard!$W$7="All",D45=Dashboard!$W$7)),1,0)</f>
        <v>1</v>
      </c>
      <c r="M45" s="19">
        <f>L45*IF(OR(Dashboard!$W$8="All",J45=Dashboard!$W$8),1,0)</f>
        <v>1</v>
      </c>
    </row>
    <row r="46" spans="1:13" x14ac:dyDescent="0.25">
      <c r="A46" s="23">
        <v>46028.495775463001</v>
      </c>
      <c r="B46" s="19" t="s">
        <v>36</v>
      </c>
      <c r="C46" s="19" t="s">
        <v>27</v>
      </c>
      <c r="D46" s="19" t="s">
        <v>65</v>
      </c>
      <c r="E46" s="19" t="s">
        <v>153</v>
      </c>
      <c r="F46" s="19" t="s">
        <v>154</v>
      </c>
      <c r="G46" s="19" t="s">
        <v>59</v>
      </c>
      <c r="H46" s="19">
        <v>20</v>
      </c>
      <c r="I46" s="19">
        <v>82</v>
      </c>
      <c r="J46" s="19" t="str">
        <f t="shared" si="0"/>
        <v>Jan</v>
      </c>
      <c r="K46" s="19" t="str">
        <f>IF(I46&lt;=Calc!$B$2,"Yes","No")</f>
        <v>No</v>
      </c>
      <c r="L46" s="19">
        <f>IF(AND(OR(Dashboard!$W$6="All",C46=Dashboard!$W$6),OR(Dashboard!$W$7="All",D46=Dashboard!$W$7)),1,0)</f>
        <v>1</v>
      </c>
      <c r="M46" s="19">
        <f>L46*IF(OR(Dashboard!$W$8="All",J46=Dashboard!$W$8),1,0)</f>
        <v>1</v>
      </c>
    </row>
    <row r="47" spans="1:13" x14ac:dyDescent="0.25">
      <c r="A47" s="23">
        <v>46028.816967592596</v>
      </c>
      <c r="B47" s="19" t="s">
        <v>33</v>
      </c>
      <c r="C47" s="19" t="s">
        <v>25</v>
      </c>
      <c r="D47" s="19" t="s">
        <v>69</v>
      </c>
      <c r="E47" s="19" t="s">
        <v>155</v>
      </c>
      <c r="F47" s="19" t="s">
        <v>156</v>
      </c>
      <c r="G47" s="19" t="s">
        <v>68</v>
      </c>
      <c r="H47" s="19">
        <v>28</v>
      </c>
      <c r="I47" s="19">
        <v>159</v>
      </c>
      <c r="J47" s="19" t="str">
        <f t="shared" si="0"/>
        <v>Jan</v>
      </c>
      <c r="K47" s="19" t="str">
        <f>IF(I47&lt;=Calc!$B$2,"Yes","No")</f>
        <v>No</v>
      </c>
      <c r="L47" s="19">
        <f>IF(AND(OR(Dashboard!$W$6="All",C47=Dashboard!$W$6),OR(Dashboard!$W$7="All",D47=Dashboard!$W$7)),1,0)</f>
        <v>1</v>
      </c>
      <c r="M47" s="19">
        <f>L47*IF(OR(Dashboard!$W$8="All",J47=Dashboard!$W$8),1,0)</f>
        <v>1</v>
      </c>
    </row>
    <row r="48" spans="1:13" x14ac:dyDescent="0.25">
      <c r="A48" s="23">
        <v>46028.870937500003</v>
      </c>
      <c r="B48" s="19" t="s">
        <v>35</v>
      </c>
      <c r="C48" s="19" t="s">
        <v>29</v>
      </c>
      <c r="D48" s="19" t="s">
        <v>65</v>
      </c>
      <c r="E48" s="19" t="s">
        <v>157</v>
      </c>
      <c r="F48" s="19" t="s">
        <v>158</v>
      </c>
      <c r="G48" s="19" t="s">
        <v>64</v>
      </c>
      <c r="H48" s="19">
        <v>36</v>
      </c>
      <c r="I48" s="19">
        <v>157</v>
      </c>
      <c r="J48" s="19" t="str">
        <f t="shared" si="0"/>
        <v>Jan</v>
      </c>
      <c r="K48" s="19" t="str">
        <f>IF(I48&lt;=Calc!$B$2,"Yes","No")</f>
        <v>No</v>
      </c>
      <c r="L48" s="19">
        <f>IF(AND(OR(Dashboard!$W$6="All",C48=Dashboard!$W$6),OR(Dashboard!$W$7="All",D48=Dashboard!$W$7)),1,0)</f>
        <v>1</v>
      </c>
      <c r="M48" s="19">
        <f>L48*IF(OR(Dashboard!$W$8="All",J48=Dashboard!$W$8),1,0)</f>
        <v>1</v>
      </c>
    </row>
    <row r="49" spans="1:13" x14ac:dyDescent="0.25">
      <c r="A49" s="23">
        <v>46028.920474537001</v>
      </c>
      <c r="B49" s="19" t="s">
        <v>28</v>
      </c>
      <c r="C49" s="19" t="s">
        <v>27</v>
      </c>
      <c r="D49" s="19" t="s">
        <v>69</v>
      </c>
      <c r="E49" s="19" t="s">
        <v>159</v>
      </c>
      <c r="F49" s="19" t="s">
        <v>160</v>
      </c>
      <c r="G49" s="19" t="s">
        <v>90</v>
      </c>
      <c r="H49" s="19">
        <v>4</v>
      </c>
      <c r="I49" s="19">
        <v>83</v>
      </c>
      <c r="J49" s="19" t="str">
        <f t="shared" si="0"/>
        <v>Jan</v>
      </c>
      <c r="K49" s="19" t="str">
        <f>IF(I49&lt;=Calc!$B$2,"Yes","No")</f>
        <v>No</v>
      </c>
      <c r="L49" s="19">
        <f>IF(AND(OR(Dashboard!$W$6="All",C49=Dashboard!$W$6),OR(Dashboard!$W$7="All",D49=Dashboard!$W$7)),1,0)</f>
        <v>1</v>
      </c>
      <c r="M49" s="19">
        <f>L49*IF(OR(Dashboard!$W$8="All",J49=Dashboard!$W$8),1,0)</f>
        <v>1</v>
      </c>
    </row>
    <row r="50" spans="1:13" x14ac:dyDescent="0.25">
      <c r="A50" s="23">
        <v>46029.139756944503</v>
      </c>
      <c r="B50" s="19" t="s">
        <v>26</v>
      </c>
      <c r="C50" s="19" t="s">
        <v>29</v>
      </c>
      <c r="D50" s="19" t="s">
        <v>65</v>
      </c>
      <c r="E50" s="19" t="s">
        <v>161</v>
      </c>
      <c r="F50" s="19" t="s">
        <v>162</v>
      </c>
      <c r="G50" s="19" t="s">
        <v>100</v>
      </c>
      <c r="H50" s="19">
        <v>16</v>
      </c>
      <c r="I50" s="19">
        <v>126</v>
      </c>
      <c r="J50" s="19" t="str">
        <f t="shared" si="0"/>
        <v>Jan</v>
      </c>
      <c r="K50" s="19" t="str">
        <f>IF(I50&lt;=Calc!$B$2,"Yes","No")</f>
        <v>No</v>
      </c>
      <c r="L50" s="19">
        <f>IF(AND(OR(Dashboard!$W$6="All",C50=Dashboard!$W$6),OR(Dashboard!$W$7="All",D50=Dashboard!$W$7)),1,0)</f>
        <v>1</v>
      </c>
      <c r="M50" s="19">
        <f>L50*IF(OR(Dashboard!$W$8="All",J50=Dashboard!$W$8),1,0)</f>
        <v>1</v>
      </c>
    </row>
    <row r="51" spans="1:13" x14ac:dyDescent="0.25">
      <c r="A51" s="23">
        <v>46029.2359953704</v>
      </c>
      <c r="B51" s="19" t="s">
        <v>30</v>
      </c>
      <c r="C51" s="19" t="s">
        <v>29</v>
      </c>
      <c r="D51" s="19" t="s">
        <v>69</v>
      </c>
      <c r="E51" s="19" t="s">
        <v>163</v>
      </c>
      <c r="F51" s="19" t="s">
        <v>164</v>
      </c>
      <c r="G51" s="19" t="s">
        <v>93</v>
      </c>
      <c r="H51" s="19">
        <v>24</v>
      </c>
      <c r="I51" s="19">
        <v>99</v>
      </c>
      <c r="J51" s="19" t="str">
        <f t="shared" si="0"/>
        <v>Jan</v>
      </c>
      <c r="K51" s="19" t="str">
        <f>IF(I51&lt;=Calc!$B$2,"Yes","No")</f>
        <v>No</v>
      </c>
      <c r="L51" s="19">
        <f>IF(AND(OR(Dashboard!$W$6="All",C51=Dashboard!$W$6),OR(Dashboard!$W$7="All",D51=Dashboard!$W$7)),1,0)</f>
        <v>1</v>
      </c>
      <c r="M51" s="19">
        <f>L51*IF(OR(Dashboard!$W$8="All",J51=Dashboard!$W$8),1,0)</f>
        <v>1</v>
      </c>
    </row>
    <row r="52" spans="1:13" x14ac:dyDescent="0.25">
      <c r="A52" s="23">
        <v>46029.4191319444</v>
      </c>
      <c r="B52" s="19" t="s">
        <v>30</v>
      </c>
      <c r="C52" s="19" t="s">
        <v>25</v>
      </c>
      <c r="D52" s="19" t="s">
        <v>69</v>
      </c>
      <c r="E52" s="19" t="s">
        <v>165</v>
      </c>
      <c r="F52" s="19" t="s">
        <v>166</v>
      </c>
      <c r="G52" s="19" t="s">
        <v>93</v>
      </c>
      <c r="H52" s="19">
        <v>15</v>
      </c>
      <c r="I52" s="19">
        <v>108</v>
      </c>
      <c r="J52" s="19" t="str">
        <f t="shared" si="0"/>
        <v>Jan</v>
      </c>
      <c r="K52" s="19" t="str">
        <f>IF(I52&lt;=Calc!$B$2,"Yes","No")</f>
        <v>No</v>
      </c>
      <c r="L52" s="19">
        <f>IF(AND(OR(Dashboard!$W$6="All",C52=Dashboard!$W$6),OR(Dashboard!$W$7="All",D52=Dashboard!$W$7)),1,0)</f>
        <v>1</v>
      </c>
      <c r="M52" s="19">
        <f>L52*IF(OR(Dashboard!$W$8="All",J52=Dashboard!$W$8),1,0)</f>
        <v>1</v>
      </c>
    </row>
    <row r="53" spans="1:13" x14ac:dyDescent="0.25">
      <c r="A53" s="23">
        <v>46029.426273148201</v>
      </c>
      <c r="B53" s="19" t="s">
        <v>34</v>
      </c>
      <c r="C53" s="19" t="s">
        <v>25</v>
      </c>
      <c r="D53" s="19" t="s">
        <v>65</v>
      </c>
      <c r="E53" s="19" t="s">
        <v>167</v>
      </c>
      <c r="F53" s="19" t="s">
        <v>168</v>
      </c>
      <c r="G53" s="19" t="s">
        <v>56</v>
      </c>
      <c r="H53" s="19">
        <v>33</v>
      </c>
      <c r="I53" s="19">
        <v>124</v>
      </c>
      <c r="J53" s="19" t="str">
        <f t="shared" si="0"/>
        <v>Jan</v>
      </c>
      <c r="K53" s="19" t="str">
        <f>IF(I53&lt;=Calc!$B$2,"Yes","No")</f>
        <v>No</v>
      </c>
      <c r="L53" s="19">
        <f>IF(AND(OR(Dashboard!$W$6="All",C53=Dashboard!$W$6),OR(Dashboard!$W$7="All",D53=Dashboard!$W$7)),1,0)</f>
        <v>1</v>
      </c>
      <c r="M53" s="19">
        <f>L53*IF(OR(Dashboard!$W$8="All",J53=Dashboard!$W$8),1,0)</f>
        <v>1</v>
      </c>
    </row>
    <row r="54" spans="1:13" x14ac:dyDescent="0.25">
      <c r="A54" s="23">
        <v>46029.506215277797</v>
      </c>
      <c r="B54" s="19" t="s">
        <v>36</v>
      </c>
      <c r="C54" s="19" t="s">
        <v>25</v>
      </c>
      <c r="D54" s="19" t="s">
        <v>53</v>
      </c>
      <c r="E54" s="19" t="s">
        <v>169</v>
      </c>
      <c r="F54" s="19" t="s">
        <v>170</v>
      </c>
      <c r="G54" s="19" t="s">
        <v>59</v>
      </c>
      <c r="H54" s="19">
        <v>33</v>
      </c>
      <c r="I54" s="19">
        <v>132</v>
      </c>
      <c r="J54" s="19" t="str">
        <f t="shared" si="0"/>
        <v>Jan</v>
      </c>
      <c r="K54" s="19" t="str">
        <f>IF(I54&lt;=Calc!$B$2,"Yes","No")</f>
        <v>No</v>
      </c>
      <c r="L54" s="19">
        <f>IF(AND(OR(Dashboard!$W$6="All",C54=Dashboard!$W$6),OR(Dashboard!$W$7="All",D54=Dashboard!$W$7)),1,0)</f>
        <v>1</v>
      </c>
      <c r="M54" s="19">
        <f>L54*IF(OR(Dashboard!$W$8="All",J54=Dashboard!$W$8),1,0)</f>
        <v>1</v>
      </c>
    </row>
    <row r="55" spans="1:13" x14ac:dyDescent="0.25">
      <c r="A55" s="23">
        <v>46029.540266203701</v>
      </c>
      <c r="B55" s="19" t="s">
        <v>34</v>
      </c>
      <c r="C55" s="19" t="s">
        <v>27</v>
      </c>
      <c r="D55" s="19" t="s">
        <v>69</v>
      </c>
      <c r="E55" s="19" t="s">
        <v>171</v>
      </c>
      <c r="F55" s="19" t="s">
        <v>172</v>
      </c>
      <c r="G55" s="19" t="s">
        <v>56</v>
      </c>
      <c r="H55" s="19">
        <v>12</v>
      </c>
      <c r="I55" s="19">
        <v>62</v>
      </c>
      <c r="J55" s="19" t="str">
        <f t="shared" si="0"/>
        <v>Jan</v>
      </c>
      <c r="K55" s="19" t="str">
        <f>IF(I55&lt;=Calc!$B$2,"Yes","No")</f>
        <v>No</v>
      </c>
      <c r="L55" s="19">
        <f>IF(AND(OR(Dashboard!$W$6="All",C55=Dashboard!$W$6),OR(Dashboard!$W$7="All",D55=Dashboard!$W$7)),1,0)</f>
        <v>1</v>
      </c>
      <c r="M55" s="19">
        <f>L55*IF(OR(Dashboard!$W$8="All",J55=Dashboard!$W$8),1,0)</f>
        <v>1</v>
      </c>
    </row>
    <row r="56" spans="1:13" x14ac:dyDescent="0.25">
      <c r="A56" s="23">
        <v>46029.6421064815</v>
      </c>
      <c r="B56" s="19" t="s">
        <v>36</v>
      </c>
      <c r="C56" s="19" t="s">
        <v>27</v>
      </c>
      <c r="D56" s="19" t="s">
        <v>53</v>
      </c>
      <c r="E56" s="19" t="s">
        <v>173</v>
      </c>
      <c r="F56" s="19" t="s">
        <v>174</v>
      </c>
      <c r="G56" s="19" t="s">
        <v>59</v>
      </c>
      <c r="H56" s="19">
        <v>5</v>
      </c>
      <c r="I56" s="19">
        <v>29</v>
      </c>
      <c r="J56" s="19" t="str">
        <f t="shared" si="0"/>
        <v>Jan</v>
      </c>
      <c r="K56" s="19" t="str">
        <f>IF(I56&lt;=Calc!$B$2,"Yes","No")</f>
        <v>Yes</v>
      </c>
      <c r="L56" s="19">
        <f>IF(AND(OR(Dashboard!$W$6="All",C56=Dashboard!$W$6),OR(Dashboard!$W$7="All",D56=Dashboard!$W$7)),1,0)</f>
        <v>1</v>
      </c>
      <c r="M56" s="19">
        <f>L56*IF(OR(Dashboard!$W$8="All",J56=Dashboard!$W$8),1,0)</f>
        <v>1</v>
      </c>
    </row>
    <row r="57" spans="1:13" x14ac:dyDescent="0.25">
      <c r="A57" s="23">
        <v>46029.881168981497</v>
      </c>
      <c r="B57" s="19" t="s">
        <v>32</v>
      </c>
      <c r="C57" s="19" t="s">
        <v>25</v>
      </c>
      <c r="D57" s="19" t="s">
        <v>73</v>
      </c>
      <c r="E57" s="19" t="s">
        <v>175</v>
      </c>
      <c r="F57" s="19" t="s">
        <v>176</v>
      </c>
      <c r="G57" s="19" t="s">
        <v>72</v>
      </c>
      <c r="H57" s="19">
        <v>36</v>
      </c>
      <c r="I57" s="19">
        <v>162</v>
      </c>
      <c r="J57" s="19" t="str">
        <f t="shared" si="0"/>
        <v>Jan</v>
      </c>
      <c r="K57" s="19" t="str">
        <f>IF(I57&lt;=Calc!$B$2,"Yes","No")</f>
        <v>No</v>
      </c>
      <c r="L57" s="19">
        <f>IF(AND(OR(Dashboard!$W$6="All",C57=Dashboard!$W$6),OR(Dashboard!$W$7="All",D57=Dashboard!$W$7)),1,0)</f>
        <v>1</v>
      </c>
      <c r="M57" s="19">
        <f>L57*IF(OR(Dashboard!$W$8="All",J57=Dashboard!$W$8),1,0)</f>
        <v>1</v>
      </c>
    </row>
    <row r="58" spans="1:13" x14ac:dyDescent="0.25">
      <c r="A58" s="23">
        <v>46030.135231481501</v>
      </c>
      <c r="B58" s="19" t="s">
        <v>36</v>
      </c>
      <c r="C58" s="19" t="s">
        <v>25</v>
      </c>
      <c r="D58" s="19" t="s">
        <v>65</v>
      </c>
      <c r="E58" s="19" t="s">
        <v>177</v>
      </c>
      <c r="F58" s="19" t="s">
        <v>178</v>
      </c>
      <c r="G58" s="19" t="s">
        <v>59</v>
      </c>
      <c r="H58" s="19">
        <v>8</v>
      </c>
      <c r="I58" s="19">
        <v>132</v>
      </c>
      <c r="J58" s="19" t="str">
        <f t="shared" si="0"/>
        <v>Jan</v>
      </c>
      <c r="K58" s="19" t="str">
        <f>IF(I58&lt;=Calc!$B$2,"Yes","No")</f>
        <v>No</v>
      </c>
      <c r="L58" s="19">
        <f>IF(AND(OR(Dashboard!$W$6="All",C58=Dashboard!$W$6),OR(Dashboard!$W$7="All",D58=Dashboard!$W$7)),1,0)</f>
        <v>1</v>
      </c>
      <c r="M58" s="19">
        <f>L58*IF(OR(Dashboard!$W$8="All",J58=Dashboard!$W$8),1,0)</f>
        <v>1</v>
      </c>
    </row>
    <row r="59" spans="1:13" x14ac:dyDescent="0.25">
      <c r="A59" s="23">
        <v>46030.216759259303</v>
      </c>
      <c r="B59" s="19" t="s">
        <v>30</v>
      </c>
      <c r="C59" s="19" t="s">
        <v>31</v>
      </c>
      <c r="D59" s="19" t="s">
        <v>65</v>
      </c>
      <c r="E59" s="19" t="s">
        <v>179</v>
      </c>
      <c r="F59" s="19" t="s">
        <v>180</v>
      </c>
      <c r="G59" s="19" t="s">
        <v>93</v>
      </c>
      <c r="H59" s="19">
        <v>1</v>
      </c>
      <c r="I59" s="19">
        <v>52</v>
      </c>
      <c r="J59" s="19" t="str">
        <f t="shared" si="0"/>
        <v>Jan</v>
      </c>
      <c r="K59" s="19" t="str">
        <f>IF(I59&lt;=Calc!$B$2,"Yes","No")</f>
        <v>Yes</v>
      </c>
      <c r="L59" s="19">
        <f>IF(AND(OR(Dashboard!$W$6="All",C59=Dashboard!$W$6),OR(Dashboard!$W$7="All",D59=Dashboard!$W$7)),1,0)</f>
        <v>1</v>
      </c>
      <c r="M59" s="19">
        <f>L59*IF(OR(Dashboard!$W$8="All",J59=Dashboard!$W$8),1,0)</f>
        <v>1</v>
      </c>
    </row>
    <row r="60" spans="1:13" x14ac:dyDescent="0.25">
      <c r="A60" s="23">
        <v>46030.2805324074</v>
      </c>
      <c r="B60" s="19" t="s">
        <v>26</v>
      </c>
      <c r="C60" s="19" t="s">
        <v>27</v>
      </c>
      <c r="D60" s="19" t="s">
        <v>65</v>
      </c>
      <c r="E60" s="19" t="s">
        <v>181</v>
      </c>
      <c r="F60" s="19" t="s">
        <v>182</v>
      </c>
      <c r="G60" s="19" t="s">
        <v>100</v>
      </c>
      <c r="H60" s="19">
        <v>8</v>
      </c>
      <c r="I60" s="19">
        <v>56</v>
      </c>
      <c r="J60" s="19" t="str">
        <f t="shared" si="0"/>
        <v>Jan</v>
      </c>
      <c r="K60" s="19" t="str">
        <f>IF(I60&lt;=Calc!$B$2,"Yes","No")</f>
        <v>Yes</v>
      </c>
      <c r="L60" s="19">
        <f>IF(AND(OR(Dashboard!$W$6="All",C60=Dashboard!$W$6),OR(Dashboard!$W$7="All",D60=Dashboard!$W$7)),1,0)</f>
        <v>1</v>
      </c>
      <c r="M60" s="19">
        <f>L60*IF(OR(Dashboard!$W$8="All",J60=Dashboard!$W$8),1,0)</f>
        <v>1</v>
      </c>
    </row>
    <row r="61" spans="1:13" x14ac:dyDescent="0.25">
      <c r="A61" s="23">
        <v>46030.380636574097</v>
      </c>
      <c r="B61" s="19" t="s">
        <v>35</v>
      </c>
      <c r="C61" s="19" t="s">
        <v>25</v>
      </c>
      <c r="D61" s="19" t="s">
        <v>73</v>
      </c>
      <c r="E61" s="19" t="s">
        <v>183</v>
      </c>
      <c r="F61" s="19" t="s">
        <v>184</v>
      </c>
      <c r="G61" s="19" t="s">
        <v>64</v>
      </c>
      <c r="H61" s="19">
        <v>40</v>
      </c>
      <c r="I61" s="19">
        <v>170</v>
      </c>
      <c r="J61" s="19" t="str">
        <f t="shared" si="0"/>
        <v>Jan</v>
      </c>
      <c r="K61" s="19" t="str">
        <f>IF(I61&lt;=Calc!$B$2,"Yes","No")</f>
        <v>No</v>
      </c>
      <c r="L61" s="19">
        <f>IF(AND(OR(Dashboard!$W$6="All",C61=Dashboard!$W$6),OR(Dashboard!$W$7="All",D61=Dashboard!$W$7)),1,0)</f>
        <v>1</v>
      </c>
      <c r="M61" s="19">
        <f>L61*IF(OR(Dashboard!$W$8="All",J61=Dashboard!$W$8),1,0)</f>
        <v>1</v>
      </c>
    </row>
    <row r="62" spans="1:13" x14ac:dyDescent="0.25">
      <c r="A62" s="23">
        <v>46030.468321759297</v>
      </c>
      <c r="B62" s="19" t="s">
        <v>30</v>
      </c>
      <c r="C62" s="19" t="s">
        <v>29</v>
      </c>
      <c r="D62" s="19" t="s">
        <v>69</v>
      </c>
      <c r="E62" s="19" t="s">
        <v>185</v>
      </c>
      <c r="F62" s="19" t="s">
        <v>186</v>
      </c>
      <c r="G62" s="19" t="s">
        <v>93</v>
      </c>
      <c r="H62" s="19">
        <v>28</v>
      </c>
      <c r="I62" s="19">
        <v>172</v>
      </c>
      <c r="J62" s="19" t="str">
        <f t="shared" si="0"/>
        <v>Jan</v>
      </c>
      <c r="K62" s="19" t="str">
        <f>IF(I62&lt;=Calc!$B$2,"Yes","No")</f>
        <v>No</v>
      </c>
      <c r="L62" s="19">
        <f>IF(AND(OR(Dashboard!$W$6="All",C62=Dashboard!$W$6),OR(Dashboard!$W$7="All",D62=Dashboard!$W$7)),1,0)</f>
        <v>1</v>
      </c>
      <c r="M62" s="19">
        <f>L62*IF(OR(Dashboard!$W$8="All",J62=Dashboard!$W$8),1,0)</f>
        <v>1</v>
      </c>
    </row>
    <row r="63" spans="1:13" x14ac:dyDescent="0.25">
      <c r="A63" s="23">
        <v>46030.557268518503</v>
      </c>
      <c r="B63" s="19" t="s">
        <v>30</v>
      </c>
      <c r="C63" s="19" t="s">
        <v>25</v>
      </c>
      <c r="D63" s="19" t="s">
        <v>69</v>
      </c>
      <c r="E63" s="19" t="s">
        <v>187</v>
      </c>
      <c r="F63" s="19" t="s">
        <v>188</v>
      </c>
      <c r="G63" s="19" t="s">
        <v>93</v>
      </c>
      <c r="H63" s="19">
        <v>20</v>
      </c>
      <c r="I63" s="19">
        <v>172</v>
      </c>
      <c r="J63" s="19" t="str">
        <f t="shared" si="0"/>
        <v>Jan</v>
      </c>
      <c r="K63" s="19" t="str">
        <f>IF(I63&lt;=Calc!$B$2,"Yes","No")</f>
        <v>No</v>
      </c>
      <c r="L63" s="19">
        <f>IF(AND(OR(Dashboard!$W$6="All",C63=Dashboard!$W$6),OR(Dashboard!$W$7="All",D63=Dashboard!$W$7)),1,0)</f>
        <v>1</v>
      </c>
      <c r="M63" s="19">
        <f>L63*IF(OR(Dashboard!$W$8="All",J63=Dashboard!$W$8),1,0)</f>
        <v>1</v>
      </c>
    </row>
    <row r="64" spans="1:13" x14ac:dyDescent="0.25">
      <c r="A64" s="23">
        <v>46030.612604166701</v>
      </c>
      <c r="B64" s="19" t="s">
        <v>26</v>
      </c>
      <c r="C64" s="19" t="s">
        <v>25</v>
      </c>
      <c r="D64" s="19" t="s">
        <v>69</v>
      </c>
      <c r="E64" s="19" t="s">
        <v>189</v>
      </c>
      <c r="F64" s="19" t="s">
        <v>190</v>
      </c>
      <c r="G64" s="19" t="s">
        <v>100</v>
      </c>
      <c r="H64" s="19">
        <v>31</v>
      </c>
      <c r="I64" s="19">
        <v>118</v>
      </c>
      <c r="J64" s="19" t="str">
        <f t="shared" si="0"/>
        <v>Jan</v>
      </c>
      <c r="K64" s="19" t="str">
        <f>IF(I64&lt;=Calc!$B$2,"Yes","No")</f>
        <v>No</v>
      </c>
      <c r="L64" s="19">
        <f>IF(AND(OR(Dashboard!$W$6="All",C64=Dashboard!$W$6),OR(Dashboard!$W$7="All",D64=Dashboard!$W$7)),1,0)</f>
        <v>1</v>
      </c>
      <c r="M64" s="19">
        <f>L64*IF(OR(Dashboard!$W$8="All",J64=Dashboard!$W$8),1,0)</f>
        <v>1</v>
      </c>
    </row>
    <row r="65" spans="1:13" x14ac:dyDescent="0.25">
      <c r="A65" s="23">
        <v>46030.672986111102</v>
      </c>
      <c r="B65" s="19" t="s">
        <v>26</v>
      </c>
      <c r="C65" s="19" t="s">
        <v>31</v>
      </c>
      <c r="D65" s="19" t="s">
        <v>53</v>
      </c>
      <c r="E65" s="19" t="s">
        <v>191</v>
      </c>
      <c r="F65" s="19" t="s">
        <v>192</v>
      </c>
      <c r="G65" s="19" t="s">
        <v>100</v>
      </c>
      <c r="H65" s="19">
        <v>12</v>
      </c>
      <c r="I65" s="19">
        <v>95</v>
      </c>
      <c r="J65" s="19" t="str">
        <f t="shared" si="0"/>
        <v>Jan</v>
      </c>
      <c r="K65" s="19" t="str">
        <f>IF(I65&lt;=Calc!$B$2,"Yes","No")</f>
        <v>No</v>
      </c>
      <c r="L65" s="19">
        <f>IF(AND(OR(Dashboard!$W$6="All",C65=Dashboard!$W$6),OR(Dashboard!$W$7="All",D65=Dashboard!$W$7)),1,0)</f>
        <v>1</v>
      </c>
      <c r="M65" s="19">
        <f>L65*IF(OR(Dashboard!$W$8="All",J65=Dashboard!$W$8),1,0)</f>
        <v>1</v>
      </c>
    </row>
    <row r="66" spans="1:13" x14ac:dyDescent="0.25">
      <c r="A66" s="23">
        <v>46030.690497685202</v>
      </c>
      <c r="B66" s="19" t="s">
        <v>36</v>
      </c>
      <c r="C66" s="19" t="s">
        <v>25</v>
      </c>
      <c r="D66" s="19" t="s">
        <v>69</v>
      </c>
      <c r="E66" s="19" t="s">
        <v>193</v>
      </c>
      <c r="F66" s="19" t="s">
        <v>194</v>
      </c>
      <c r="G66" s="19" t="s">
        <v>59</v>
      </c>
      <c r="H66" s="19">
        <v>33</v>
      </c>
      <c r="I66" s="19">
        <v>134</v>
      </c>
      <c r="J66" s="19" t="str">
        <f t="shared" ref="J66:J129" si="1">CHOOSE(MONTH(A66),"Jan","Feb","Mar","Apr","May","Jun","Jul","Aug","Sep","Oct","Nov","Dec")</f>
        <v>Jan</v>
      </c>
      <c r="K66" s="19" t="str">
        <f>IF(I66&lt;=Calc!$B$2,"Yes","No")</f>
        <v>No</v>
      </c>
      <c r="L66" s="19">
        <f>IF(AND(OR(Dashboard!$W$6="All",C66=Dashboard!$W$6),OR(Dashboard!$W$7="All",D66=Dashboard!$W$7)),1,0)</f>
        <v>1</v>
      </c>
      <c r="M66" s="19">
        <f>L66*IF(OR(Dashboard!$W$8="All",J66=Dashboard!$W$8),1,0)</f>
        <v>1</v>
      </c>
    </row>
    <row r="67" spans="1:13" x14ac:dyDescent="0.25">
      <c r="A67" s="23">
        <v>46030.773912037002</v>
      </c>
      <c r="B67" s="19" t="s">
        <v>36</v>
      </c>
      <c r="C67" s="19" t="s">
        <v>29</v>
      </c>
      <c r="D67" s="19" t="s">
        <v>53</v>
      </c>
      <c r="E67" s="19" t="s">
        <v>195</v>
      </c>
      <c r="F67" s="19" t="s">
        <v>196</v>
      </c>
      <c r="G67" s="19" t="s">
        <v>59</v>
      </c>
      <c r="H67" s="19">
        <v>21</v>
      </c>
      <c r="I67" s="19">
        <v>133</v>
      </c>
      <c r="J67" s="19" t="str">
        <f t="shared" si="1"/>
        <v>Jan</v>
      </c>
      <c r="K67" s="19" t="str">
        <f>IF(I67&lt;=Calc!$B$2,"Yes","No")</f>
        <v>No</v>
      </c>
      <c r="L67" s="19">
        <f>IF(AND(OR(Dashboard!$W$6="All",C67=Dashboard!$W$6),OR(Dashboard!$W$7="All",D67=Dashboard!$W$7)),1,0)</f>
        <v>1</v>
      </c>
      <c r="M67" s="19">
        <f>L67*IF(OR(Dashboard!$W$8="All",J67=Dashboard!$W$8),1,0)</f>
        <v>1</v>
      </c>
    </row>
    <row r="68" spans="1:13" x14ac:dyDescent="0.25">
      <c r="A68" s="23">
        <v>46030.788888888899</v>
      </c>
      <c r="B68" s="19" t="s">
        <v>32</v>
      </c>
      <c r="C68" s="19" t="s">
        <v>31</v>
      </c>
      <c r="D68" s="19" t="s">
        <v>69</v>
      </c>
      <c r="E68" s="19" t="s">
        <v>197</v>
      </c>
      <c r="F68" s="19" t="s">
        <v>198</v>
      </c>
      <c r="G68" s="19" t="s">
        <v>72</v>
      </c>
      <c r="H68" s="19">
        <v>14</v>
      </c>
      <c r="I68" s="19">
        <v>66</v>
      </c>
      <c r="J68" s="19" t="str">
        <f t="shared" si="1"/>
        <v>Jan</v>
      </c>
      <c r="K68" s="19" t="str">
        <f>IF(I68&lt;=Calc!$B$2,"Yes","No")</f>
        <v>No</v>
      </c>
      <c r="L68" s="19">
        <f>IF(AND(OR(Dashboard!$W$6="All",C68=Dashboard!$W$6),OR(Dashboard!$W$7="All",D68=Dashboard!$W$7)),1,0)</f>
        <v>1</v>
      </c>
      <c r="M68" s="19">
        <f>L68*IF(OR(Dashboard!$W$8="All",J68=Dashboard!$W$8),1,0)</f>
        <v>1</v>
      </c>
    </row>
    <row r="69" spans="1:13" x14ac:dyDescent="0.25">
      <c r="A69" s="23">
        <v>46030.882511574098</v>
      </c>
      <c r="B69" s="19" t="s">
        <v>35</v>
      </c>
      <c r="C69" s="19" t="s">
        <v>31</v>
      </c>
      <c r="D69" s="19" t="s">
        <v>53</v>
      </c>
      <c r="E69" s="19" t="s">
        <v>199</v>
      </c>
      <c r="F69" s="19" t="s">
        <v>200</v>
      </c>
      <c r="G69" s="19" t="s">
        <v>64</v>
      </c>
      <c r="H69" s="19">
        <v>9</v>
      </c>
      <c r="I69" s="19">
        <v>52</v>
      </c>
      <c r="J69" s="19" t="str">
        <f t="shared" si="1"/>
        <v>Jan</v>
      </c>
      <c r="K69" s="19" t="str">
        <f>IF(I69&lt;=Calc!$B$2,"Yes","No")</f>
        <v>Yes</v>
      </c>
      <c r="L69" s="19">
        <f>IF(AND(OR(Dashboard!$W$6="All",C69=Dashboard!$W$6),OR(Dashboard!$W$7="All",D69=Dashboard!$W$7)),1,0)</f>
        <v>1</v>
      </c>
      <c r="M69" s="19">
        <f>L69*IF(OR(Dashboard!$W$8="All",J69=Dashboard!$W$8),1,0)</f>
        <v>1</v>
      </c>
    </row>
    <row r="70" spans="1:13" x14ac:dyDescent="0.25">
      <c r="A70" s="23">
        <v>46031.331747685203</v>
      </c>
      <c r="B70" s="19" t="s">
        <v>30</v>
      </c>
      <c r="C70" s="19" t="s">
        <v>25</v>
      </c>
      <c r="D70" s="19" t="s">
        <v>53</v>
      </c>
      <c r="E70" s="19" t="s">
        <v>201</v>
      </c>
      <c r="F70" s="19" t="s">
        <v>202</v>
      </c>
      <c r="G70" s="19" t="s">
        <v>93</v>
      </c>
      <c r="H70" s="19">
        <v>33</v>
      </c>
      <c r="I70" s="19">
        <v>180</v>
      </c>
      <c r="J70" s="19" t="str">
        <f t="shared" si="1"/>
        <v>Jan</v>
      </c>
      <c r="K70" s="19" t="str">
        <f>IF(I70&lt;=Calc!$B$2,"Yes","No")</f>
        <v>No</v>
      </c>
      <c r="L70" s="19">
        <f>IF(AND(OR(Dashboard!$W$6="All",C70=Dashboard!$W$6),OR(Dashboard!$W$7="All",D70=Dashboard!$W$7)),1,0)</f>
        <v>1</v>
      </c>
      <c r="M70" s="19">
        <f>L70*IF(OR(Dashboard!$W$8="All",J70=Dashboard!$W$8),1,0)</f>
        <v>1</v>
      </c>
    </row>
    <row r="71" spans="1:13" x14ac:dyDescent="0.25">
      <c r="A71" s="23">
        <v>46031.414131944497</v>
      </c>
      <c r="B71" s="19" t="s">
        <v>32</v>
      </c>
      <c r="C71" s="19" t="s">
        <v>25</v>
      </c>
      <c r="D71" s="19" t="s">
        <v>73</v>
      </c>
      <c r="E71" s="19" t="s">
        <v>203</v>
      </c>
      <c r="F71" s="19" t="s">
        <v>204</v>
      </c>
      <c r="G71" s="19" t="s">
        <v>72</v>
      </c>
      <c r="H71" s="19">
        <v>26</v>
      </c>
      <c r="I71" s="19">
        <v>166</v>
      </c>
      <c r="J71" s="19" t="str">
        <f t="shared" si="1"/>
        <v>Jan</v>
      </c>
      <c r="K71" s="19" t="str">
        <f>IF(I71&lt;=Calc!$B$2,"Yes","No")</f>
        <v>No</v>
      </c>
      <c r="L71" s="19">
        <f>IF(AND(OR(Dashboard!$W$6="All",C71=Dashboard!$W$6),OR(Dashboard!$W$7="All",D71=Dashboard!$W$7)),1,0)</f>
        <v>1</v>
      </c>
      <c r="M71" s="19">
        <f>L71*IF(OR(Dashboard!$W$8="All",J71=Dashboard!$W$8),1,0)</f>
        <v>1</v>
      </c>
    </row>
    <row r="72" spans="1:13" x14ac:dyDescent="0.25">
      <c r="A72" s="23">
        <v>46031.445208333302</v>
      </c>
      <c r="B72" s="19" t="s">
        <v>33</v>
      </c>
      <c r="C72" s="19" t="s">
        <v>27</v>
      </c>
      <c r="D72" s="19" t="s">
        <v>65</v>
      </c>
      <c r="E72" s="19" t="s">
        <v>205</v>
      </c>
      <c r="F72" s="19" t="s">
        <v>206</v>
      </c>
      <c r="G72" s="19" t="s">
        <v>68</v>
      </c>
      <c r="H72" s="19">
        <v>6</v>
      </c>
      <c r="I72" s="19">
        <v>74</v>
      </c>
      <c r="J72" s="19" t="str">
        <f t="shared" si="1"/>
        <v>Jan</v>
      </c>
      <c r="K72" s="19" t="str">
        <f>IF(I72&lt;=Calc!$B$2,"Yes","No")</f>
        <v>No</v>
      </c>
      <c r="L72" s="19">
        <f>IF(AND(OR(Dashboard!$W$6="All",C72=Dashboard!$W$6),OR(Dashboard!$W$7="All",D72=Dashboard!$W$7)),1,0)</f>
        <v>1</v>
      </c>
      <c r="M72" s="19">
        <f>L72*IF(OR(Dashboard!$W$8="All",J72=Dashboard!$W$8),1,0)</f>
        <v>1</v>
      </c>
    </row>
    <row r="73" spans="1:13" x14ac:dyDescent="0.25">
      <c r="A73" s="23">
        <v>46031.547962962999</v>
      </c>
      <c r="B73" s="19" t="s">
        <v>28</v>
      </c>
      <c r="C73" s="19" t="s">
        <v>27</v>
      </c>
      <c r="D73" s="19" t="s">
        <v>53</v>
      </c>
      <c r="E73" s="19" t="s">
        <v>207</v>
      </c>
      <c r="F73" s="19" t="s">
        <v>208</v>
      </c>
      <c r="G73" s="19" t="s">
        <v>90</v>
      </c>
      <c r="H73" s="19">
        <v>9</v>
      </c>
      <c r="I73" s="19">
        <v>60</v>
      </c>
      <c r="J73" s="19" t="str">
        <f t="shared" si="1"/>
        <v>Jan</v>
      </c>
      <c r="K73" s="19" t="str">
        <f>IF(I73&lt;=Calc!$B$2,"Yes","No")</f>
        <v>Yes</v>
      </c>
      <c r="L73" s="19">
        <f>IF(AND(OR(Dashboard!$W$6="All",C73=Dashboard!$W$6),OR(Dashboard!$W$7="All",D73=Dashboard!$W$7)),1,0)</f>
        <v>1</v>
      </c>
      <c r="M73" s="19">
        <f>L73*IF(OR(Dashboard!$W$8="All",J73=Dashboard!$W$8),1,0)</f>
        <v>1</v>
      </c>
    </row>
    <row r="74" spans="1:13" x14ac:dyDescent="0.25">
      <c r="A74" s="23">
        <v>46031.556562500002</v>
      </c>
      <c r="B74" s="19" t="s">
        <v>30</v>
      </c>
      <c r="C74" s="19" t="s">
        <v>27</v>
      </c>
      <c r="D74" s="19" t="s">
        <v>69</v>
      </c>
      <c r="E74" s="19" t="s">
        <v>209</v>
      </c>
      <c r="F74" s="19" t="s">
        <v>210</v>
      </c>
      <c r="G74" s="19" t="s">
        <v>93</v>
      </c>
      <c r="H74" s="19">
        <v>26</v>
      </c>
      <c r="I74" s="19">
        <v>31</v>
      </c>
      <c r="J74" s="19" t="str">
        <f t="shared" si="1"/>
        <v>Jan</v>
      </c>
      <c r="K74" s="19" t="str">
        <f>IF(I74&lt;=Calc!$B$2,"Yes","No")</f>
        <v>Yes</v>
      </c>
      <c r="L74" s="19">
        <f>IF(AND(OR(Dashboard!$W$6="All",C74=Dashboard!$W$6),OR(Dashboard!$W$7="All",D74=Dashboard!$W$7)),1,0)</f>
        <v>1</v>
      </c>
      <c r="M74" s="19">
        <f>L74*IF(OR(Dashboard!$W$8="All",J74=Dashboard!$W$8),1,0)</f>
        <v>1</v>
      </c>
    </row>
    <row r="75" spans="1:13" x14ac:dyDescent="0.25">
      <c r="A75" s="23">
        <v>46031.685763888898</v>
      </c>
      <c r="B75" s="19" t="s">
        <v>32</v>
      </c>
      <c r="C75" s="19" t="s">
        <v>27</v>
      </c>
      <c r="D75" s="19" t="s">
        <v>73</v>
      </c>
      <c r="E75" s="19" t="s">
        <v>211</v>
      </c>
      <c r="F75" s="19" t="s">
        <v>212</v>
      </c>
      <c r="G75" s="19" t="s">
        <v>72</v>
      </c>
      <c r="H75" s="19">
        <v>8</v>
      </c>
      <c r="I75" s="19">
        <v>106</v>
      </c>
      <c r="J75" s="19" t="str">
        <f t="shared" si="1"/>
        <v>Jan</v>
      </c>
      <c r="K75" s="19" t="str">
        <f>IF(I75&lt;=Calc!$B$2,"Yes","No")</f>
        <v>No</v>
      </c>
      <c r="L75" s="19">
        <f>IF(AND(OR(Dashboard!$W$6="All",C75=Dashboard!$W$6),OR(Dashboard!$W$7="All",D75=Dashboard!$W$7)),1,0)</f>
        <v>1</v>
      </c>
      <c r="M75" s="19">
        <f>L75*IF(OR(Dashboard!$W$8="All",J75=Dashboard!$W$8),1,0)</f>
        <v>1</v>
      </c>
    </row>
    <row r="76" spans="1:13" x14ac:dyDescent="0.25">
      <c r="A76" s="23">
        <v>46031.766909722202</v>
      </c>
      <c r="B76" s="19" t="s">
        <v>32</v>
      </c>
      <c r="C76" s="19" t="s">
        <v>25</v>
      </c>
      <c r="D76" s="19" t="s">
        <v>65</v>
      </c>
      <c r="E76" s="19" t="s">
        <v>213</v>
      </c>
      <c r="F76" s="19" t="s">
        <v>214</v>
      </c>
      <c r="G76" s="19" t="s">
        <v>72</v>
      </c>
      <c r="H76" s="19">
        <v>24</v>
      </c>
      <c r="I76" s="19">
        <v>162</v>
      </c>
      <c r="J76" s="19" t="str">
        <f t="shared" si="1"/>
        <v>Jan</v>
      </c>
      <c r="K76" s="19" t="str">
        <f>IF(I76&lt;=Calc!$B$2,"Yes","No")</f>
        <v>No</v>
      </c>
      <c r="L76" s="19">
        <f>IF(AND(OR(Dashboard!$W$6="All",C76=Dashboard!$W$6),OR(Dashboard!$W$7="All",D76=Dashboard!$W$7)),1,0)</f>
        <v>1</v>
      </c>
      <c r="M76" s="19">
        <f>L76*IF(OR(Dashboard!$W$8="All",J76=Dashboard!$W$8),1,0)</f>
        <v>1</v>
      </c>
    </row>
    <row r="77" spans="1:13" x14ac:dyDescent="0.25">
      <c r="A77" s="23">
        <v>46031.857037037</v>
      </c>
      <c r="B77" s="19" t="s">
        <v>33</v>
      </c>
      <c r="C77" s="19" t="s">
        <v>25</v>
      </c>
      <c r="D77" s="19" t="s">
        <v>53</v>
      </c>
      <c r="E77" s="19" t="s">
        <v>215</v>
      </c>
      <c r="F77" s="19" t="s">
        <v>216</v>
      </c>
      <c r="G77" s="19" t="s">
        <v>68</v>
      </c>
      <c r="H77" s="19">
        <v>25</v>
      </c>
      <c r="I77" s="19">
        <v>113</v>
      </c>
      <c r="J77" s="19" t="str">
        <f t="shared" si="1"/>
        <v>Jan</v>
      </c>
      <c r="K77" s="19" t="str">
        <f>IF(I77&lt;=Calc!$B$2,"Yes","No")</f>
        <v>No</v>
      </c>
      <c r="L77" s="19">
        <f>IF(AND(OR(Dashboard!$W$6="All",C77=Dashboard!$W$6),OR(Dashboard!$W$7="All",D77=Dashboard!$W$7)),1,0)</f>
        <v>1</v>
      </c>
      <c r="M77" s="19">
        <f>L77*IF(OR(Dashboard!$W$8="All",J77=Dashboard!$W$8),1,0)</f>
        <v>1</v>
      </c>
    </row>
    <row r="78" spans="1:13" x14ac:dyDescent="0.25">
      <c r="A78" s="23">
        <v>46032.0395601852</v>
      </c>
      <c r="B78" s="19" t="s">
        <v>36</v>
      </c>
      <c r="C78" s="19" t="s">
        <v>29</v>
      </c>
      <c r="D78" s="19" t="s">
        <v>65</v>
      </c>
      <c r="E78" s="19" t="s">
        <v>217</v>
      </c>
      <c r="F78" s="19" t="s">
        <v>218</v>
      </c>
      <c r="G78" s="19" t="s">
        <v>59</v>
      </c>
      <c r="H78" s="19">
        <v>9</v>
      </c>
      <c r="I78" s="19">
        <v>110</v>
      </c>
      <c r="J78" s="19" t="str">
        <f t="shared" si="1"/>
        <v>Jan</v>
      </c>
      <c r="K78" s="19" t="str">
        <f>IF(I78&lt;=Calc!$B$2,"Yes","No")</f>
        <v>No</v>
      </c>
      <c r="L78" s="19">
        <f>IF(AND(OR(Dashboard!$W$6="All",C78=Dashboard!$W$6),OR(Dashboard!$W$7="All",D78=Dashboard!$W$7)),1,0)</f>
        <v>1</v>
      </c>
      <c r="M78" s="19">
        <f>L78*IF(OR(Dashboard!$W$8="All",J78=Dashboard!$W$8),1,0)</f>
        <v>1</v>
      </c>
    </row>
    <row r="79" spans="1:13" x14ac:dyDescent="0.25">
      <c r="A79" s="23">
        <v>46032.555416666699</v>
      </c>
      <c r="B79" s="19" t="s">
        <v>36</v>
      </c>
      <c r="C79" s="19" t="s">
        <v>25</v>
      </c>
      <c r="D79" s="19" t="s">
        <v>65</v>
      </c>
      <c r="E79" s="19" t="s">
        <v>219</v>
      </c>
      <c r="F79" s="19" t="s">
        <v>220</v>
      </c>
      <c r="G79" s="19" t="s">
        <v>59</v>
      </c>
      <c r="H79" s="19">
        <v>16</v>
      </c>
      <c r="I79" s="19">
        <v>59</v>
      </c>
      <c r="J79" s="19" t="str">
        <f t="shared" si="1"/>
        <v>Jan</v>
      </c>
      <c r="K79" s="19" t="str">
        <f>IF(I79&lt;=Calc!$B$2,"Yes","No")</f>
        <v>Yes</v>
      </c>
      <c r="L79" s="19">
        <f>IF(AND(OR(Dashboard!$W$6="All",C79=Dashboard!$W$6),OR(Dashboard!$W$7="All",D79=Dashboard!$W$7)),1,0)</f>
        <v>1</v>
      </c>
      <c r="M79" s="19">
        <f>L79*IF(OR(Dashboard!$W$8="All",J79=Dashboard!$W$8),1,0)</f>
        <v>1</v>
      </c>
    </row>
    <row r="80" spans="1:13" x14ac:dyDescent="0.25">
      <c r="A80" s="23">
        <v>46032.758275462998</v>
      </c>
      <c r="B80" s="19" t="s">
        <v>33</v>
      </c>
      <c r="C80" s="19" t="s">
        <v>31</v>
      </c>
      <c r="D80" s="19" t="s">
        <v>65</v>
      </c>
      <c r="E80" s="19" t="s">
        <v>221</v>
      </c>
      <c r="F80" s="19" t="s">
        <v>222</v>
      </c>
      <c r="G80" s="19" t="s">
        <v>68</v>
      </c>
      <c r="H80" s="19">
        <v>10</v>
      </c>
      <c r="I80" s="19">
        <v>75</v>
      </c>
      <c r="J80" s="19" t="str">
        <f t="shared" si="1"/>
        <v>Jan</v>
      </c>
      <c r="K80" s="19" t="str">
        <f>IF(I80&lt;=Calc!$B$2,"Yes","No")</f>
        <v>No</v>
      </c>
      <c r="L80" s="19">
        <f>IF(AND(OR(Dashboard!$W$6="All",C80=Dashboard!$W$6),OR(Dashboard!$W$7="All",D80=Dashboard!$W$7)),1,0)</f>
        <v>1</v>
      </c>
      <c r="M80" s="19">
        <f>L80*IF(OR(Dashboard!$W$8="All",J80=Dashboard!$W$8),1,0)</f>
        <v>1</v>
      </c>
    </row>
    <row r="81" spans="1:13" x14ac:dyDescent="0.25">
      <c r="A81" s="23">
        <v>46032.819791666698</v>
      </c>
      <c r="B81" s="19" t="s">
        <v>28</v>
      </c>
      <c r="C81" s="19" t="s">
        <v>25</v>
      </c>
      <c r="D81" s="19" t="s">
        <v>53</v>
      </c>
      <c r="E81" s="19" t="s">
        <v>223</v>
      </c>
      <c r="F81" s="19" t="s">
        <v>224</v>
      </c>
      <c r="G81" s="19" t="s">
        <v>90</v>
      </c>
      <c r="H81" s="19">
        <v>34</v>
      </c>
      <c r="I81" s="19">
        <v>174</v>
      </c>
      <c r="J81" s="19" t="str">
        <f t="shared" si="1"/>
        <v>Jan</v>
      </c>
      <c r="K81" s="19" t="str">
        <f>IF(I81&lt;=Calc!$B$2,"Yes","No")</f>
        <v>No</v>
      </c>
      <c r="L81" s="19">
        <f>IF(AND(OR(Dashboard!$W$6="All",C81=Dashboard!$W$6),OR(Dashboard!$W$7="All",D81=Dashboard!$W$7)),1,0)</f>
        <v>1</v>
      </c>
      <c r="M81" s="19">
        <f>L81*IF(OR(Dashboard!$W$8="All",J81=Dashboard!$W$8),1,0)</f>
        <v>1</v>
      </c>
    </row>
    <row r="82" spans="1:13" x14ac:dyDescent="0.25">
      <c r="A82" s="23">
        <v>46032.944687499999</v>
      </c>
      <c r="B82" s="19" t="s">
        <v>30</v>
      </c>
      <c r="C82" s="19" t="s">
        <v>25</v>
      </c>
      <c r="D82" s="19" t="s">
        <v>53</v>
      </c>
      <c r="E82" s="19" t="s">
        <v>225</v>
      </c>
      <c r="F82" s="19" t="s">
        <v>226</v>
      </c>
      <c r="G82" s="19" t="s">
        <v>93</v>
      </c>
      <c r="H82" s="19">
        <v>17</v>
      </c>
      <c r="I82" s="19">
        <v>169</v>
      </c>
      <c r="J82" s="19" t="str">
        <f t="shared" si="1"/>
        <v>Jan</v>
      </c>
      <c r="K82" s="19" t="str">
        <f>IF(I82&lt;=Calc!$B$2,"Yes","No")</f>
        <v>No</v>
      </c>
      <c r="L82" s="19">
        <f>IF(AND(OR(Dashboard!$W$6="All",C82=Dashboard!$W$6),OR(Dashboard!$W$7="All",D82=Dashboard!$W$7)),1,0)</f>
        <v>1</v>
      </c>
      <c r="M82" s="19">
        <f>L82*IF(OR(Dashboard!$W$8="All",J82=Dashboard!$W$8),1,0)</f>
        <v>1</v>
      </c>
    </row>
    <row r="83" spans="1:13" x14ac:dyDescent="0.25">
      <c r="A83" s="23">
        <v>46032.951284722199</v>
      </c>
      <c r="B83" s="19" t="s">
        <v>35</v>
      </c>
      <c r="C83" s="19" t="s">
        <v>29</v>
      </c>
      <c r="D83" s="19" t="s">
        <v>73</v>
      </c>
      <c r="E83" s="19" t="s">
        <v>227</v>
      </c>
      <c r="F83" s="19" t="s">
        <v>228</v>
      </c>
      <c r="G83" s="19" t="s">
        <v>64</v>
      </c>
      <c r="H83" s="19">
        <v>30</v>
      </c>
      <c r="I83" s="19">
        <v>166</v>
      </c>
      <c r="J83" s="19" t="str">
        <f t="shared" si="1"/>
        <v>Jan</v>
      </c>
      <c r="K83" s="19" t="str">
        <f>IF(I83&lt;=Calc!$B$2,"Yes","No")</f>
        <v>No</v>
      </c>
      <c r="L83" s="19">
        <f>IF(AND(OR(Dashboard!$W$6="All",C83=Dashboard!$W$6),OR(Dashboard!$W$7="All",D83=Dashboard!$W$7)),1,0)</f>
        <v>1</v>
      </c>
      <c r="M83" s="19">
        <f>L83*IF(OR(Dashboard!$W$8="All",J83=Dashboard!$W$8),1,0)</f>
        <v>1</v>
      </c>
    </row>
    <row r="84" spans="1:13" x14ac:dyDescent="0.25">
      <c r="A84" s="23">
        <v>46032.9602662037</v>
      </c>
      <c r="B84" s="19" t="s">
        <v>33</v>
      </c>
      <c r="C84" s="19" t="s">
        <v>27</v>
      </c>
      <c r="D84" s="19" t="s">
        <v>53</v>
      </c>
      <c r="E84" s="19" t="s">
        <v>229</v>
      </c>
      <c r="F84" s="19" t="s">
        <v>230</v>
      </c>
      <c r="G84" s="19" t="s">
        <v>68</v>
      </c>
      <c r="H84" s="19">
        <v>4</v>
      </c>
      <c r="I84" s="19">
        <v>25</v>
      </c>
      <c r="J84" s="19" t="str">
        <f t="shared" si="1"/>
        <v>Jan</v>
      </c>
      <c r="K84" s="19" t="str">
        <f>IF(I84&lt;=Calc!$B$2,"Yes","No")</f>
        <v>Yes</v>
      </c>
      <c r="L84" s="19">
        <f>IF(AND(OR(Dashboard!$W$6="All",C84=Dashboard!$W$6),OR(Dashboard!$W$7="All",D84=Dashboard!$W$7)),1,0)</f>
        <v>1</v>
      </c>
      <c r="M84" s="19">
        <f>L84*IF(OR(Dashboard!$W$8="All",J84=Dashboard!$W$8),1,0)</f>
        <v>1</v>
      </c>
    </row>
    <row r="85" spans="1:13" x14ac:dyDescent="0.25">
      <c r="A85" s="23">
        <v>46032.960474537002</v>
      </c>
      <c r="B85" s="19" t="s">
        <v>33</v>
      </c>
      <c r="C85" s="19" t="s">
        <v>29</v>
      </c>
      <c r="D85" s="19" t="s">
        <v>69</v>
      </c>
      <c r="E85" s="19" t="s">
        <v>231</v>
      </c>
      <c r="F85" s="19" t="s">
        <v>232</v>
      </c>
      <c r="G85" s="19" t="s">
        <v>68</v>
      </c>
      <c r="H85" s="19">
        <v>38</v>
      </c>
      <c r="I85" s="19">
        <v>130</v>
      </c>
      <c r="J85" s="19" t="str">
        <f t="shared" si="1"/>
        <v>Jan</v>
      </c>
      <c r="K85" s="19" t="str">
        <f>IF(I85&lt;=Calc!$B$2,"Yes","No")</f>
        <v>No</v>
      </c>
      <c r="L85" s="19">
        <f>IF(AND(OR(Dashboard!$W$6="All",C85=Dashboard!$W$6),OR(Dashboard!$W$7="All",D85=Dashboard!$W$7)),1,0)</f>
        <v>1</v>
      </c>
      <c r="M85" s="19">
        <f>L85*IF(OR(Dashboard!$W$8="All",J85=Dashboard!$W$8),1,0)</f>
        <v>1</v>
      </c>
    </row>
    <row r="86" spans="1:13" x14ac:dyDescent="0.25">
      <c r="A86" s="23">
        <v>46033.069537037001</v>
      </c>
      <c r="B86" s="19" t="s">
        <v>30</v>
      </c>
      <c r="C86" s="19" t="s">
        <v>29</v>
      </c>
      <c r="D86" s="19" t="s">
        <v>65</v>
      </c>
      <c r="E86" s="19" t="s">
        <v>233</v>
      </c>
      <c r="F86" s="19" t="s">
        <v>234</v>
      </c>
      <c r="G86" s="19" t="s">
        <v>93</v>
      </c>
      <c r="H86" s="19">
        <v>49</v>
      </c>
      <c r="I86" s="19">
        <v>162</v>
      </c>
      <c r="J86" s="19" t="str">
        <f t="shared" si="1"/>
        <v>Jan</v>
      </c>
      <c r="K86" s="19" t="str">
        <f>IF(I86&lt;=Calc!$B$2,"Yes","No")</f>
        <v>No</v>
      </c>
      <c r="L86" s="19">
        <f>IF(AND(OR(Dashboard!$W$6="All",C86=Dashboard!$W$6),OR(Dashboard!$W$7="All",D86=Dashboard!$W$7)),1,0)</f>
        <v>1</v>
      </c>
      <c r="M86" s="19">
        <f>L86*IF(OR(Dashboard!$W$8="All",J86=Dashboard!$W$8),1,0)</f>
        <v>1</v>
      </c>
    </row>
    <row r="87" spans="1:13" x14ac:dyDescent="0.25">
      <c r="A87" s="23">
        <v>46033.1507291667</v>
      </c>
      <c r="B87" s="19" t="s">
        <v>32</v>
      </c>
      <c r="C87" s="19" t="s">
        <v>27</v>
      </c>
      <c r="D87" s="19" t="s">
        <v>53</v>
      </c>
      <c r="E87" s="19" t="s">
        <v>235</v>
      </c>
      <c r="F87" s="19" t="s">
        <v>236</v>
      </c>
      <c r="G87" s="19" t="s">
        <v>72</v>
      </c>
      <c r="H87" s="19">
        <v>13</v>
      </c>
      <c r="I87" s="19">
        <v>78</v>
      </c>
      <c r="J87" s="19" t="str">
        <f t="shared" si="1"/>
        <v>Jan</v>
      </c>
      <c r="K87" s="19" t="str">
        <f>IF(I87&lt;=Calc!$B$2,"Yes","No")</f>
        <v>No</v>
      </c>
      <c r="L87" s="19">
        <f>IF(AND(OR(Dashboard!$W$6="All",C87=Dashboard!$W$6),OR(Dashboard!$W$7="All",D87=Dashboard!$W$7)),1,0)</f>
        <v>1</v>
      </c>
      <c r="M87" s="19">
        <f>L87*IF(OR(Dashboard!$W$8="All",J87=Dashboard!$W$8),1,0)</f>
        <v>1</v>
      </c>
    </row>
    <row r="88" spans="1:13" x14ac:dyDescent="0.25">
      <c r="A88" s="23">
        <v>46033.394016203703</v>
      </c>
      <c r="B88" s="19" t="s">
        <v>34</v>
      </c>
      <c r="C88" s="19" t="s">
        <v>27</v>
      </c>
      <c r="D88" s="19" t="s">
        <v>53</v>
      </c>
      <c r="E88" s="19" t="s">
        <v>237</v>
      </c>
      <c r="F88" s="19" t="s">
        <v>238</v>
      </c>
      <c r="G88" s="19" t="s">
        <v>56</v>
      </c>
      <c r="H88" s="19">
        <v>16</v>
      </c>
      <c r="I88" s="19">
        <v>82</v>
      </c>
      <c r="J88" s="19" t="str">
        <f t="shared" si="1"/>
        <v>Jan</v>
      </c>
      <c r="K88" s="19" t="str">
        <f>IF(I88&lt;=Calc!$B$2,"Yes","No")</f>
        <v>No</v>
      </c>
      <c r="L88" s="19">
        <f>IF(AND(OR(Dashboard!$W$6="All",C88=Dashboard!$W$6),OR(Dashboard!$W$7="All",D88=Dashboard!$W$7)),1,0)</f>
        <v>1</v>
      </c>
      <c r="M88" s="19">
        <f>L88*IF(OR(Dashboard!$W$8="All",J88=Dashboard!$W$8),1,0)</f>
        <v>1</v>
      </c>
    </row>
    <row r="89" spans="1:13" x14ac:dyDescent="0.25">
      <c r="A89" s="23">
        <v>46033.5069560185</v>
      </c>
      <c r="B89" s="19" t="s">
        <v>33</v>
      </c>
      <c r="C89" s="19" t="s">
        <v>25</v>
      </c>
      <c r="D89" s="19" t="s">
        <v>53</v>
      </c>
      <c r="E89" s="19" t="s">
        <v>239</v>
      </c>
      <c r="F89" s="19" t="s">
        <v>240</v>
      </c>
      <c r="G89" s="19" t="s">
        <v>68</v>
      </c>
      <c r="H89" s="19">
        <v>36</v>
      </c>
      <c r="I89" s="19">
        <v>184</v>
      </c>
      <c r="J89" s="19" t="str">
        <f t="shared" si="1"/>
        <v>Jan</v>
      </c>
      <c r="K89" s="19" t="str">
        <f>IF(I89&lt;=Calc!$B$2,"Yes","No")</f>
        <v>No</v>
      </c>
      <c r="L89" s="19">
        <f>IF(AND(OR(Dashboard!$W$6="All",C89=Dashboard!$W$6),OR(Dashboard!$W$7="All",D89=Dashboard!$W$7)),1,0)</f>
        <v>1</v>
      </c>
      <c r="M89" s="19">
        <f>L89*IF(OR(Dashboard!$W$8="All",J89=Dashboard!$W$8),1,0)</f>
        <v>1</v>
      </c>
    </row>
    <row r="90" spans="1:13" x14ac:dyDescent="0.25">
      <c r="A90" s="23">
        <v>46033.541111111103</v>
      </c>
      <c r="B90" s="19" t="s">
        <v>32</v>
      </c>
      <c r="C90" s="19" t="s">
        <v>25</v>
      </c>
      <c r="D90" s="19" t="s">
        <v>65</v>
      </c>
      <c r="E90" s="19" t="s">
        <v>241</v>
      </c>
      <c r="F90" s="19" t="s">
        <v>242</v>
      </c>
      <c r="G90" s="19" t="s">
        <v>72</v>
      </c>
      <c r="H90" s="19">
        <v>31</v>
      </c>
      <c r="I90" s="19">
        <v>180</v>
      </c>
      <c r="J90" s="19" t="str">
        <f t="shared" si="1"/>
        <v>Jan</v>
      </c>
      <c r="K90" s="19" t="str">
        <f>IF(I90&lt;=Calc!$B$2,"Yes","No")</f>
        <v>No</v>
      </c>
      <c r="L90" s="19">
        <f>IF(AND(OR(Dashboard!$W$6="All",C90=Dashboard!$W$6),OR(Dashboard!$W$7="All",D90=Dashboard!$W$7)),1,0)</f>
        <v>1</v>
      </c>
      <c r="M90" s="19">
        <f>L90*IF(OR(Dashboard!$W$8="All",J90=Dashboard!$W$8),1,0)</f>
        <v>1</v>
      </c>
    </row>
    <row r="91" spans="1:13" x14ac:dyDescent="0.25">
      <c r="A91" s="23">
        <v>46033.669791666704</v>
      </c>
      <c r="B91" s="19" t="s">
        <v>36</v>
      </c>
      <c r="C91" s="19" t="s">
        <v>29</v>
      </c>
      <c r="D91" s="19" t="s">
        <v>53</v>
      </c>
      <c r="E91" s="19" t="s">
        <v>243</v>
      </c>
      <c r="F91" s="19" t="s">
        <v>244</v>
      </c>
      <c r="G91" s="19" t="s">
        <v>59</v>
      </c>
      <c r="H91" s="19">
        <v>53</v>
      </c>
      <c r="I91" s="19">
        <v>187</v>
      </c>
      <c r="J91" s="19" t="str">
        <f t="shared" si="1"/>
        <v>Jan</v>
      </c>
      <c r="K91" s="19" t="str">
        <f>IF(I91&lt;=Calc!$B$2,"Yes","No")</f>
        <v>No</v>
      </c>
      <c r="L91" s="19">
        <f>IF(AND(OR(Dashboard!$W$6="All",C91=Dashboard!$W$6),OR(Dashboard!$W$7="All",D91=Dashboard!$W$7)),1,0)</f>
        <v>1</v>
      </c>
      <c r="M91" s="19">
        <f>L91*IF(OR(Dashboard!$W$8="All",J91=Dashboard!$W$8),1,0)</f>
        <v>1</v>
      </c>
    </row>
    <row r="92" spans="1:13" x14ac:dyDescent="0.25">
      <c r="A92" s="23">
        <v>46033.721770833297</v>
      </c>
      <c r="B92" s="19" t="s">
        <v>32</v>
      </c>
      <c r="C92" s="19" t="s">
        <v>25</v>
      </c>
      <c r="D92" s="19" t="s">
        <v>65</v>
      </c>
      <c r="E92" s="19" t="s">
        <v>245</v>
      </c>
      <c r="F92" s="19" t="s">
        <v>246</v>
      </c>
      <c r="G92" s="19" t="s">
        <v>72</v>
      </c>
      <c r="H92" s="19">
        <v>34</v>
      </c>
      <c r="I92" s="19">
        <v>155</v>
      </c>
      <c r="J92" s="19" t="str">
        <f t="shared" si="1"/>
        <v>Jan</v>
      </c>
      <c r="K92" s="19" t="str">
        <f>IF(I92&lt;=Calc!$B$2,"Yes","No")</f>
        <v>No</v>
      </c>
      <c r="L92" s="19">
        <f>IF(AND(OR(Dashboard!$W$6="All",C92=Dashboard!$W$6),OR(Dashboard!$W$7="All",D92=Dashboard!$W$7)),1,0)</f>
        <v>1</v>
      </c>
      <c r="M92" s="19">
        <f>L92*IF(OR(Dashboard!$W$8="All",J92=Dashboard!$W$8),1,0)</f>
        <v>1</v>
      </c>
    </row>
    <row r="93" spans="1:13" x14ac:dyDescent="0.25">
      <c r="A93" s="23">
        <v>46034.015972222202</v>
      </c>
      <c r="B93" s="19" t="s">
        <v>30</v>
      </c>
      <c r="C93" s="19" t="s">
        <v>25</v>
      </c>
      <c r="D93" s="19" t="s">
        <v>65</v>
      </c>
      <c r="E93" s="19" t="s">
        <v>247</v>
      </c>
      <c r="F93" s="19" t="s">
        <v>248</v>
      </c>
      <c r="G93" s="19" t="s">
        <v>93</v>
      </c>
      <c r="H93" s="19">
        <v>25</v>
      </c>
      <c r="I93" s="19">
        <v>140</v>
      </c>
      <c r="J93" s="19" t="str">
        <f t="shared" si="1"/>
        <v>Jan</v>
      </c>
      <c r="K93" s="19" t="str">
        <f>IF(I93&lt;=Calc!$B$2,"Yes","No")</f>
        <v>No</v>
      </c>
      <c r="L93" s="19">
        <f>IF(AND(OR(Dashboard!$W$6="All",C93=Dashboard!$W$6),OR(Dashboard!$W$7="All",D93=Dashboard!$W$7)),1,0)</f>
        <v>1</v>
      </c>
      <c r="M93" s="19">
        <f>L93*IF(OR(Dashboard!$W$8="All",J93=Dashboard!$W$8),1,0)</f>
        <v>1</v>
      </c>
    </row>
    <row r="94" spans="1:13" x14ac:dyDescent="0.25">
      <c r="A94" s="23">
        <v>46034.063923611102</v>
      </c>
      <c r="B94" s="19" t="s">
        <v>35</v>
      </c>
      <c r="C94" s="19" t="s">
        <v>27</v>
      </c>
      <c r="D94" s="19" t="s">
        <v>53</v>
      </c>
      <c r="E94" s="19" t="s">
        <v>249</v>
      </c>
      <c r="F94" s="19" t="s">
        <v>250</v>
      </c>
      <c r="G94" s="19" t="s">
        <v>64</v>
      </c>
      <c r="H94" s="19">
        <v>10</v>
      </c>
      <c r="I94" s="19">
        <v>84</v>
      </c>
      <c r="J94" s="19" t="str">
        <f t="shared" si="1"/>
        <v>Jan</v>
      </c>
      <c r="K94" s="19" t="str">
        <f>IF(I94&lt;=Calc!$B$2,"Yes","No")</f>
        <v>No</v>
      </c>
      <c r="L94" s="19">
        <f>IF(AND(OR(Dashboard!$W$6="All",C94=Dashboard!$W$6),OR(Dashboard!$W$7="All",D94=Dashboard!$W$7)),1,0)</f>
        <v>1</v>
      </c>
      <c r="M94" s="19">
        <f>L94*IF(OR(Dashboard!$W$8="All",J94=Dashboard!$W$8),1,0)</f>
        <v>1</v>
      </c>
    </row>
    <row r="95" spans="1:13" x14ac:dyDescent="0.25">
      <c r="A95" s="23">
        <v>46034.076759259297</v>
      </c>
      <c r="B95" s="19" t="s">
        <v>32</v>
      </c>
      <c r="C95" s="19" t="s">
        <v>25</v>
      </c>
      <c r="D95" s="19" t="s">
        <v>65</v>
      </c>
      <c r="E95" s="19" t="s">
        <v>251</v>
      </c>
      <c r="F95" s="19" t="s">
        <v>252</v>
      </c>
      <c r="G95" s="19" t="s">
        <v>72</v>
      </c>
      <c r="H95" s="19">
        <v>29</v>
      </c>
      <c r="I95" s="19">
        <v>208</v>
      </c>
      <c r="J95" s="19" t="str">
        <f t="shared" si="1"/>
        <v>Jan</v>
      </c>
      <c r="K95" s="19" t="str">
        <f>IF(I95&lt;=Calc!$B$2,"Yes","No")</f>
        <v>No</v>
      </c>
      <c r="L95" s="19">
        <f>IF(AND(OR(Dashboard!$W$6="All",C95=Dashboard!$W$6),OR(Dashboard!$W$7="All",D95=Dashboard!$W$7)),1,0)</f>
        <v>1</v>
      </c>
      <c r="M95" s="19">
        <f>L95*IF(OR(Dashboard!$W$8="All",J95=Dashboard!$W$8),1,0)</f>
        <v>1</v>
      </c>
    </row>
    <row r="96" spans="1:13" x14ac:dyDescent="0.25">
      <c r="A96" s="23">
        <v>46034.181863425903</v>
      </c>
      <c r="B96" s="19" t="s">
        <v>32</v>
      </c>
      <c r="C96" s="19" t="s">
        <v>31</v>
      </c>
      <c r="D96" s="19" t="s">
        <v>73</v>
      </c>
      <c r="E96" s="19" t="s">
        <v>253</v>
      </c>
      <c r="F96" s="19" t="s">
        <v>254</v>
      </c>
      <c r="G96" s="19" t="s">
        <v>72</v>
      </c>
      <c r="H96" s="19">
        <v>14</v>
      </c>
      <c r="I96" s="19">
        <v>46</v>
      </c>
      <c r="J96" s="19" t="str">
        <f t="shared" si="1"/>
        <v>Jan</v>
      </c>
      <c r="K96" s="19" t="str">
        <f>IF(I96&lt;=Calc!$B$2,"Yes","No")</f>
        <v>Yes</v>
      </c>
      <c r="L96" s="19">
        <f>IF(AND(OR(Dashboard!$W$6="All",C96=Dashboard!$W$6),OR(Dashboard!$W$7="All",D96=Dashboard!$W$7)),1,0)</f>
        <v>1</v>
      </c>
      <c r="M96" s="19">
        <f>L96*IF(OR(Dashboard!$W$8="All",J96=Dashboard!$W$8),1,0)</f>
        <v>1</v>
      </c>
    </row>
    <row r="97" spans="1:13" x14ac:dyDescent="0.25">
      <c r="A97" s="23">
        <v>46034.3902662037</v>
      </c>
      <c r="B97" s="19" t="s">
        <v>26</v>
      </c>
      <c r="C97" s="19" t="s">
        <v>25</v>
      </c>
      <c r="D97" s="19" t="s">
        <v>65</v>
      </c>
      <c r="E97" s="19" t="s">
        <v>255</v>
      </c>
      <c r="F97" s="19" t="s">
        <v>256</v>
      </c>
      <c r="G97" s="19" t="s">
        <v>100</v>
      </c>
      <c r="H97" s="19">
        <v>31</v>
      </c>
      <c r="I97" s="19">
        <v>169</v>
      </c>
      <c r="J97" s="19" t="str">
        <f t="shared" si="1"/>
        <v>Jan</v>
      </c>
      <c r="K97" s="19" t="str">
        <f>IF(I97&lt;=Calc!$B$2,"Yes","No")</f>
        <v>No</v>
      </c>
      <c r="L97" s="19">
        <f>IF(AND(OR(Dashboard!$W$6="All",C97=Dashboard!$W$6),OR(Dashboard!$W$7="All",D97=Dashboard!$W$7)),1,0)</f>
        <v>1</v>
      </c>
      <c r="M97" s="19">
        <f>L97*IF(OR(Dashboard!$W$8="All",J97=Dashboard!$W$8),1,0)</f>
        <v>1</v>
      </c>
    </row>
    <row r="98" spans="1:13" x14ac:dyDescent="0.25">
      <c r="A98" s="23">
        <v>46034.4097106482</v>
      </c>
      <c r="B98" s="19" t="s">
        <v>35</v>
      </c>
      <c r="C98" s="19" t="s">
        <v>29</v>
      </c>
      <c r="D98" s="19" t="s">
        <v>65</v>
      </c>
      <c r="E98" s="19" t="s">
        <v>257</v>
      </c>
      <c r="F98" s="19" t="s">
        <v>258</v>
      </c>
      <c r="G98" s="19" t="s">
        <v>64</v>
      </c>
      <c r="H98" s="19">
        <v>38</v>
      </c>
      <c r="I98" s="19">
        <v>132</v>
      </c>
      <c r="J98" s="19" t="str">
        <f t="shared" si="1"/>
        <v>Jan</v>
      </c>
      <c r="K98" s="19" t="str">
        <f>IF(I98&lt;=Calc!$B$2,"Yes","No")</f>
        <v>No</v>
      </c>
      <c r="L98" s="19">
        <f>IF(AND(OR(Dashboard!$W$6="All",C98=Dashboard!$W$6),OR(Dashboard!$W$7="All",D98=Dashboard!$W$7)),1,0)</f>
        <v>1</v>
      </c>
      <c r="M98" s="19">
        <f>L98*IF(OR(Dashboard!$W$8="All",J98=Dashboard!$W$8),1,0)</f>
        <v>1</v>
      </c>
    </row>
    <row r="99" spans="1:13" x14ac:dyDescent="0.25">
      <c r="A99" s="23">
        <v>46034.535405092603</v>
      </c>
      <c r="B99" s="19" t="s">
        <v>35</v>
      </c>
      <c r="C99" s="19" t="s">
        <v>25</v>
      </c>
      <c r="D99" s="19" t="s">
        <v>69</v>
      </c>
      <c r="E99" s="19" t="s">
        <v>259</v>
      </c>
      <c r="F99" s="19" t="s">
        <v>260</v>
      </c>
      <c r="G99" s="19" t="s">
        <v>64</v>
      </c>
      <c r="H99" s="19">
        <v>30</v>
      </c>
      <c r="I99" s="19">
        <v>125</v>
      </c>
      <c r="J99" s="19" t="str">
        <f t="shared" si="1"/>
        <v>Jan</v>
      </c>
      <c r="K99" s="19" t="str">
        <f>IF(I99&lt;=Calc!$B$2,"Yes","No")</f>
        <v>No</v>
      </c>
      <c r="L99" s="19">
        <f>IF(AND(OR(Dashboard!$W$6="All",C99=Dashboard!$W$6),OR(Dashboard!$W$7="All",D99=Dashboard!$W$7)),1,0)</f>
        <v>1</v>
      </c>
      <c r="M99" s="19">
        <f>L99*IF(OR(Dashboard!$W$8="All",J99=Dashboard!$W$8),1,0)</f>
        <v>1</v>
      </c>
    </row>
    <row r="100" spans="1:13" x14ac:dyDescent="0.25">
      <c r="A100" s="23">
        <v>46034.562071759297</v>
      </c>
      <c r="B100" s="19" t="s">
        <v>26</v>
      </c>
      <c r="C100" s="19" t="s">
        <v>27</v>
      </c>
      <c r="D100" s="19" t="s">
        <v>69</v>
      </c>
      <c r="E100" s="19" t="s">
        <v>261</v>
      </c>
      <c r="F100" s="19" t="s">
        <v>262</v>
      </c>
      <c r="G100" s="19" t="s">
        <v>100</v>
      </c>
      <c r="H100" s="19">
        <v>13</v>
      </c>
      <c r="I100" s="19">
        <v>18</v>
      </c>
      <c r="J100" s="19" t="str">
        <f t="shared" si="1"/>
        <v>Jan</v>
      </c>
      <c r="K100" s="19" t="str">
        <f>IF(I100&lt;=Calc!$B$2,"Yes","No")</f>
        <v>Yes</v>
      </c>
      <c r="L100" s="19">
        <f>IF(AND(OR(Dashboard!$W$6="All",C100=Dashboard!$W$6),OR(Dashboard!$W$7="All",D100=Dashboard!$W$7)),1,0)</f>
        <v>1</v>
      </c>
      <c r="M100" s="19">
        <f>L100*IF(OR(Dashboard!$W$8="All",J100=Dashboard!$W$8),1,0)</f>
        <v>1</v>
      </c>
    </row>
    <row r="101" spans="1:13" x14ac:dyDescent="0.25">
      <c r="A101" s="23">
        <v>46034.639826388899</v>
      </c>
      <c r="B101" s="19" t="s">
        <v>30</v>
      </c>
      <c r="C101" s="19" t="s">
        <v>29</v>
      </c>
      <c r="D101" s="19" t="s">
        <v>65</v>
      </c>
      <c r="E101" s="19" t="s">
        <v>263</v>
      </c>
      <c r="F101" s="19" t="s">
        <v>264</v>
      </c>
      <c r="G101" s="19" t="s">
        <v>93</v>
      </c>
      <c r="H101" s="19">
        <v>26</v>
      </c>
      <c r="I101" s="19">
        <v>126</v>
      </c>
      <c r="J101" s="19" t="str">
        <f t="shared" si="1"/>
        <v>Jan</v>
      </c>
      <c r="K101" s="19" t="str">
        <f>IF(I101&lt;=Calc!$B$2,"Yes","No")</f>
        <v>No</v>
      </c>
      <c r="L101" s="19">
        <f>IF(AND(OR(Dashboard!$W$6="All",C101=Dashboard!$W$6),OR(Dashboard!$W$7="All",D101=Dashboard!$W$7)),1,0)</f>
        <v>1</v>
      </c>
      <c r="M101" s="19">
        <f>L101*IF(OR(Dashboard!$W$8="All",J101=Dashboard!$W$8),1,0)</f>
        <v>1</v>
      </c>
    </row>
    <row r="102" spans="1:13" x14ac:dyDescent="0.25">
      <c r="A102" s="23">
        <v>46035.085324074098</v>
      </c>
      <c r="B102" s="19" t="s">
        <v>33</v>
      </c>
      <c r="C102" s="19" t="s">
        <v>25</v>
      </c>
      <c r="D102" s="19" t="s">
        <v>65</v>
      </c>
      <c r="E102" s="19" t="s">
        <v>265</v>
      </c>
      <c r="F102" s="19" t="s">
        <v>266</v>
      </c>
      <c r="G102" s="19" t="s">
        <v>68</v>
      </c>
      <c r="H102" s="19">
        <v>35</v>
      </c>
      <c r="I102" s="19">
        <v>134</v>
      </c>
      <c r="J102" s="19" t="str">
        <f t="shared" si="1"/>
        <v>Jan</v>
      </c>
      <c r="K102" s="19" t="str">
        <f>IF(I102&lt;=Calc!$B$2,"Yes","No")</f>
        <v>No</v>
      </c>
      <c r="L102" s="19">
        <f>IF(AND(OR(Dashboard!$W$6="All",C102=Dashboard!$W$6),OR(Dashboard!$W$7="All",D102=Dashboard!$W$7)),1,0)</f>
        <v>1</v>
      </c>
      <c r="M102" s="19">
        <f>L102*IF(OR(Dashboard!$W$8="All",J102=Dashboard!$W$8),1,0)</f>
        <v>1</v>
      </c>
    </row>
    <row r="103" spans="1:13" x14ac:dyDescent="0.25">
      <c r="A103" s="23">
        <v>46035.2166319444</v>
      </c>
      <c r="B103" s="19" t="s">
        <v>34</v>
      </c>
      <c r="C103" s="19" t="s">
        <v>25</v>
      </c>
      <c r="D103" s="19" t="s">
        <v>53</v>
      </c>
      <c r="E103" s="19" t="s">
        <v>267</v>
      </c>
      <c r="F103" s="19" t="s">
        <v>268</v>
      </c>
      <c r="G103" s="19" t="s">
        <v>56</v>
      </c>
      <c r="H103" s="19">
        <v>24</v>
      </c>
      <c r="I103" s="19">
        <v>93</v>
      </c>
      <c r="J103" s="19" t="str">
        <f t="shared" si="1"/>
        <v>Jan</v>
      </c>
      <c r="K103" s="19" t="str">
        <f>IF(I103&lt;=Calc!$B$2,"Yes","No")</f>
        <v>No</v>
      </c>
      <c r="L103" s="19">
        <f>IF(AND(OR(Dashboard!$W$6="All",C103=Dashboard!$W$6),OR(Dashboard!$W$7="All",D103=Dashboard!$W$7)),1,0)</f>
        <v>1</v>
      </c>
      <c r="M103" s="19">
        <f>L103*IF(OR(Dashboard!$W$8="All",J103=Dashboard!$W$8),1,0)</f>
        <v>1</v>
      </c>
    </row>
    <row r="104" spans="1:13" x14ac:dyDescent="0.25">
      <c r="A104" s="23">
        <v>46035.319618055597</v>
      </c>
      <c r="B104" s="19" t="s">
        <v>35</v>
      </c>
      <c r="C104" s="19" t="s">
        <v>29</v>
      </c>
      <c r="D104" s="19" t="s">
        <v>69</v>
      </c>
      <c r="E104" s="19" t="s">
        <v>269</v>
      </c>
      <c r="F104" s="19" t="s">
        <v>270</v>
      </c>
      <c r="G104" s="19" t="s">
        <v>64</v>
      </c>
      <c r="H104" s="19">
        <v>57</v>
      </c>
      <c r="I104" s="19">
        <v>131</v>
      </c>
      <c r="J104" s="19" t="str">
        <f t="shared" si="1"/>
        <v>Jan</v>
      </c>
      <c r="K104" s="19" t="str">
        <f>IF(I104&lt;=Calc!$B$2,"Yes","No")</f>
        <v>No</v>
      </c>
      <c r="L104" s="19">
        <f>IF(AND(OR(Dashboard!$W$6="All",C104=Dashboard!$W$6),OR(Dashboard!$W$7="All",D104=Dashboard!$W$7)),1,0)</f>
        <v>1</v>
      </c>
      <c r="M104" s="19">
        <f>L104*IF(OR(Dashboard!$W$8="All",J104=Dashboard!$W$8),1,0)</f>
        <v>1</v>
      </c>
    </row>
    <row r="105" spans="1:13" x14ac:dyDescent="0.25">
      <c r="A105" s="23">
        <v>46035.685370370396</v>
      </c>
      <c r="B105" s="19" t="s">
        <v>32</v>
      </c>
      <c r="C105" s="19" t="s">
        <v>29</v>
      </c>
      <c r="D105" s="19" t="s">
        <v>69</v>
      </c>
      <c r="E105" s="19" t="s">
        <v>271</v>
      </c>
      <c r="F105" s="19" t="s">
        <v>272</v>
      </c>
      <c r="G105" s="19" t="s">
        <v>72</v>
      </c>
      <c r="H105" s="19">
        <v>32</v>
      </c>
      <c r="I105" s="19">
        <v>111</v>
      </c>
      <c r="J105" s="19" t="str">
        <f t="shared" si="1"/>
        <v>Jan</v>
      </c>
      <c r="K105" s="19" t="str">
        <f>IF(I105&lt;=Calc!$B$2,"Yes","No")</f>
        <v>No</v>
      </c>
      <c r="L105" s="19">
        <f>IF(AND(OR(Dashboard!$W$6="All",C105=Dashboard!$W$6),OR(Dashboard!$W$7="All",D105=Dashboard!$W$7)),1,0)</f>
        <v>1</v>
      </c>
      <c r="M105" s="19">
        <f>L105*IF(OR(Dashboard!$W$8="All",J105=Dashboard!$W$8),1,0)</f>
        <v>1</v>
      </c>
    </row>
    <row r="106" spans="1:13" x14ac:dyDescent="0.25">
      <c r="A106" s="23">
        <v>46035.732349537</v>
      </c>
      <c r="B106" s="19" t="s">
        <v>26</v>
      </c>
      <c r="C106" s="19" t="s">
        <v>25</v>
      </c>
      <c r="D106" s="19" t="s">
        <v>69</v>
      </c>
      <c r="E106" s="19" t="s">
        <v>273</v>
      </c>
      <c r="F106" s="19" t="s">
        <v>274</v>
      </c>
      <c r="G106" s="19" t="s">
        <v>100</v>
      </c>
      <c r="H106" s="19">
        <v>28</v>
      </c>
      <c r="I106" s="19">
        <v>166</v>
      </c>
      <c r="J106" s="19" t="str">
        <f t="shared" si="1"/>
        <v>Jan</v>
      </c>
      <c r="K106" s="19" t="str">
        <f>IF(I106&lt;=Calc!$B$2,"Yes","No")</f>
        <v>No</v>
      </c>
      <c r="L106" s="19">
        <f>IF(AND(OR(Dashboard!$W$6="All",C106=Dashboard!$W$6),OR(Dashboard!$W$7="All",D106=Dashboard!$W$7)),1,0)</f>
        <v>1</v>
      </c>
      <c r="M106" s="19">
        <f>L106*IF(OR(Dashboard!$W$8="All",J106=Dashboard!$W$8),1,0)</f>
        <v>1</v>
      </c>
    </row>
    <row r="107" spans="1:13" x14ac:dyDescent="0.25">
      <c r="A107" s="23">
        <v>46035.865150463003</v>
      </c>
      <c r="B107" s="19" t="s">
        <v>34</v>
      </c>
      <c r="C107" s="19" t="s">
        <v>31</v>
      </c>
      <c r="D107" s="19" t="s">
        <v>69</v>
      </c>
      <c r="E107" s="19" t="s">
        <v>275</v>
      </c>
      <c r="F107" s="19" t="s">
        <v>276</v>
      </c>
      <c r="G107" s="19" t="s">
        <v>56</v>
      </c>
      <c r="H107" s="19">
        <v>9</v>
      </c>
      <c r="I107" s="19">
        <v>87</v>
      </c>
      <c r="J107" s="19" t="str">
        <f t="shared" si="1"/>
        <v>Jan</v>
      </c>
      <c r="K107" s="19" t="str">
        <f>IF(I107&lt;=Calc!$B$2,"Yes","No")</f>
        <v>No</v>
      </c>
      <c r="L107" s="19">
        <f>IF(AND(OR(Dashboard!$W$6="All",C107=Dashboard!$W$6),OR(Dashboard!$W$7="All",D107=Dashboard!$W$7)),1,0)</f>
        <v>1</v>
      </c>
      <c r="M107" s="19">
        <f>L107*IF(OR(Dashboard!$W$8="All",J107=Dashboard!$W$8),1,0)</f>
        <v>1</v>
      </c>
    </row>
    <row r="108" spans="1:13" x14ac:dyDescent="0.25">
      <c r="A108" s="23">
        <v>46035.8811458333</v>
      </c>
      <c r="B108" s="19" t="s">
        <v>28</v>
      </c>
      <c r="C108" s="19" t="s">
        <v>25</v>
      </c>
      <c r="D108" s="19" t="s">
        <v>73</v>
      </c>
      <c r="E108" s="19" t="s">
        <v>277</v>
      </c>
      <c r="F108" s="19" t="s">
        <v>278</v>
      </c>
      <c r="G108" s="19" t="s">
        <v>90</v>
      </c>
      <c r="H108" s="19">
        <v>21</v>
      </c>
      <c r="I108" s="19">
        <v>78</v>
      </c>
      <c r="J108" s="19" t="str">
        <f t="shared" si="1"/>
        <v>Jan</v>
      </c>
      <c r="K108" s="19" t="str">
        <f>IF(I108&lt;=Calc!$B$2,"Yes","No")</f>
        <v>No</v>
      </c>
      <c r="L108" s="19">
        <f>IF(AND(OR(Dashboard!$W$6="All",C108=Dashboard!$W$6),OR(Dashboard!$W$7="All",D108=Dashboard!$W$7)),1,0)</f>
        <v>1</v>
      </c>
      <c r="M108" s="19">
        <f>L108*IF(OR(Dashboard!$W$8="All",J108=Dashboard!$W$8),1,0)</f>
        <v>1</v>
      </c>
    </row>
    <row r="109" spans="1:13" x14ac:dyDescent="0.25">
      <c r="A109" s="23">
        <v>46036.038368055597</v>
      </c>
      <c r="B109" s="19" t="s">
        <v>34</v>
      </c>
      <c r="C109" s="19" t="s">
        <v>27</v>
      </c>
      <c r="D109" s="19" t="s">
        <v>73</v>
      </c>
      <c r="E109" s="19" t="s">
        <v>279</v>
      </c>
      <c r="F109" s="19" t="s">
        <v>280</v>
      </c>
      <c r="G109" s="19" t="s">
        <v>56</v>
      </c>
      <c r="H109" s="19">
        <v>19</v>
      </c>
      <c r="I109" s="19">
        <v>73</v>
      </c>
      <c r="J109" s="19" t="str">
        <f t="shared" si="1"/>
        <v>Jan</v>
      </c>
      <c r="K109" s="19" t="str">
        <f>IF(I109&lt;=Calc!$B$2,"Yes","No")</f>
        <v>No</v>
      </c>
      <c r="L109" s="19">
        <f>IF(AND(OR(Dashboard!$W$6="All",C109=Dashboard!$W$6),OR(Dashboard!$W$7="All",D109=Dashboard!$W$7)),1,0)</f>
        <v>1</v>
      </c>
      <c r="M109" s="19">
        <f>L109*IF(OR(Dashboard!$W$8="All",J109=Dashboard!$W$8),1,0)</f>
        <v>1</v>
      </c>
    </row>
    <row r="110" spans="1:13" x14ac:dyDescent="0.25">
      <c r="A110" s="23">
        <v>46036.094641203701</v>
      </c>
      <c r="B110" s="19" t="s">
        <v>35</v>
      </c>
      <c r="C110" s="19" t="s">
        <v>25</v>
      </c>
      <c r="D110" s="19" t="s">
        <v>69</v>
      </c>
      <c r="E110" s="19" t="s">
        <v>281</v>
      </c>
      <c r="F110" s="19" t="s">
        <v>282</v>
      </c>
      <c r="G110" s="19" t="s">
        <v>64</v>
      </c>
      <c r="H110" s="19">
        <v>30</v>
      </c>
      <c r="I110" s="19">
        <v>134</v>
      </c>
      <c r="J110" s="19" t="str">
        <f t="shared" si="1"/>
        <v>Jan</v>
      </c>
      <c r="K110" s="19" t="str">
        <f>IF(I110&lt;=Calc!$B$2,"Yes","No")</f>
        <v>No</v>
      </c>
      <c r="L110" s="19">
        <f>IF(AND(OR(Dashboard!$W$6="All",C110=Dashboard!$W$6),OR(Dashboard!$W$7="All",D110=Dashboard!$W$7)),1,0)</f>
        <v>1</v>
      </c>
      <c r="M110" s="19">
        <f>L110*IF(OR(Dashboard!$W$8="All",J110=Dashboard!$W$8),1,0)</f>
        <v>1</v>
      </c>
    </row>
    <row r="111" spans="1:13" x14ac:dyDescent="0.25">
      <c r="A111" s="23">
        <v>46036.215138888903</v>
      </c>
      <c r="B111" s="19" t="s">
        <v>26</v>
      </c>
      <c r="C111" s="19" t="s">
        <v>25</v>
      </c>
      <c r="D111" s="19" t="s">
        <v>73</v>
      </c>
      <c r="E111" s="19" t="s">
        <v>283</v>
      </c>
      <c r="F111" s="19" t="s">
        <v>284</v>
      </c>
      <c r="G111" s="19" t="s">
        <v>100</v>
      </c>
      <c r="H111" s="19">
        <v>32</v>
      </c>
      <c r="I111" s="19">
        <v>223</v>
      </c>
      <c r="J111" s="19" t="str">
        <f t="shared" si="1"/>
        <v>Jan</v>
      </c>
      <c r="K111" s="19" t="str">
        <f>IF(I111&lt;=Calc!$B$2,"Yes","No")</f>
        <v>No</v>
      </c>
      <c r="L111" s="19">
        <f>IF(AND(OR(Dashboard!$W$6="All",C111=Dashboard!$W$6),OR(Dashboard!$W$7="All",D111=Dashboard!$W$7)),1,0)</f>
        <v>1</v>
      </c>
      <c r="M111" s="19">
        <f>L111*IF(OR(Dashboard!$W$8="All",J111=Dashboard!$W$8),1,0)</f>
        <v>1</v>
      </c>
    </row>
    <row r="112" spans="1:13" x14ac:dyDescent="0.25">
      <c r="A112" s="23">
        <v>46036.233460648204</v>
      </c>
      <c r="B112" s="19" t="s">
        <v>33</v>
      </c>
      <c r="C112" s="19" t="s">
        <v>29</v>
      </c>
      <c r="D112" s="19" t="s">
        <v>65</v>
      </c>
      <c r="E112" s="19" t="s">
        <v>285</v>
      </c>
      <c r="F112" s="19" t="s">
        <v>286</v>
      </c>
      <c r="G112" s="19" t="s">
        <v>68</v>
      </c>
      <c r="H112" s="19">
        <v>48</v>
      </c>
      <c r="I112" s="19">
        <v>168</v>
      </c>
      <c r="J112" s="19" t="str">
        <f t="shared" si="1"/>
        <v>Jan</v>
      </c>
      <c r="K112" s="19" t="str">
        <f>IF(I112&lt;=Calc!$B$2,"Yes","No")</f>
        <v>No</v>
      </c>
      <c r="L112" s="19">
        <f>IF(AND(OR(Dashboard!$W$6="All",C112=Dashboard!$W$6),OR(Dashboard!$W$7="All",D112=Dashboard!$W$7)),1,0)</f>
        <v>1</v>
      </c>
      <c r="M112" s="19">
        <f>L112*IF(OR(Dashboard!$W$8="All",J112=Dashboard!$W$8),1,0)</f>
        <v>1</v>
      </c>
    </row>
    <row r="113" spans="1:13" x14ac:dyDescent="0.25">
      <c r="A113" s="23">
        <v>46036.327881944497</v>
      </c>
      <c r="B113" s="19" t="s">
        <v>32</v>
      </c>
      <c r="C113" s="19" t="s">
        <v>25</v>
      </c>
      <c r="D113" s="19" t="s">
        <v>73</v>
      </c>
      <c r="E113" s="19" t="s">
        <v>287</v>
      </c>
      <c r="F113" s="19" t="s">
        <v>288</v>
      </c>
      <c r="G113" s="19" t="s">
        <v>72</v>
      </c>
      <c r="H113" s="19">
        <v>44</v>
      </c>
      <c r="I113" s="19">
        <v>145</v>
      </c>
      <c r="J113" s="19" t="str">
        <f t="shared" si="1"/>
        <v>Jan</v>
      </c>
      <c r="K113" s="19" t="str">
        <f>IF(I113&lt;=Calc!$B$2,"Yes","No")</f>
        <v>No</v>
      </c>
      <c r="L113" s="19">
        <f>IF(AND(OR(Dashboard!$W$6="All",C113=Dashboard!$W$6),OR(Dashboard!$W$7="All",D113=Dashboard!$W$7)),1,0)</f>
        <v>1</v>
      </c>
      <c r="M113" s="19">
        <f>L113*IF(OR(Dashboard!$W$8="All",J113=Dashboard!$W$8),1,0)</f>
        <v>1</v>
      </c>
    </row>
    <row r="114" spans="1:13" x14ac:dyDescent="0.25">
      <c r="A114" s="23">
        <v>46036.346724536997</v>
      </c>
      <c r="B114" s="19" t="s">
        <v>28</v>
      </c>
      <c r="C114" s="19" t="s">
        <v>29</v>
      </c>
      <c r="D114" s="19" t="s">
        <v>69</v>
      </c>
      <c r="E114" s="19" t="s">
        <v>289</v>
      </c>
      <c r="F114" s="19" t="s">
        <v>290</v>
      </c>
      <c r="G114" s="19" t="s">
        <v>90</v>
      </c>
      <c r="H114" s="19">
        <v>24</v>
      </c>
      <c r="I114" s="19">
        <v>173</v>
      </c>
      <c r="J114" s="19" t="str">
        <f t="shared" si="1"/>
        <v>Jan</v>
      </c>
      <c r="K114" s="19" t="str">
        <f>IF(I114&lt;=Calc!$B$2,"Yes","No")</f>
        <v>No</v>
      </c>
      <c r="L114" s="19">
        <f>IF(AND(OR(Dashboard!$W$6="All",C114=Dashboard!$W$6),OR(Dashboard!$W$7="All",D114=Dashboard!$W$7)),1,0)</f>
        <v>1</v>
      </c>
      <c r="M114" s="19">
        <f>L114*IF(OR(Dashboard!$W$8="All",J114=Dashboard!$W$8),1,0)</f>
        <v>1</v>
      </c>
    </row>
    <row r="115" spans="1:13" x14ac:dyDescent="0.25">
      <c r="A115" s="23">
        <v>46036.368865740696</v>
      </c>
      <c r="B115" s="19" t="s">
        <v>32</v>
      </c>
      <c r="C115" s="19" t="s">
        <v>31</v>
      </c>
      <c r="D115" s="19" t="s">
        <v>73</v>
      </c>
      <c r="E115" s="19" t="s">
        <v>291</v>
      </c>
      <c r="F115" s="19" t="s">
        <v>292</v>
      </c>
      <c r="G115" s="19" t="s">
        <v>72</v>
      </c>
      <c r="H115" s="19">
        <v>11</v>
      </c>
      <c r="I115" s="19">
        <v>75</v>
      </c>
      <c r="J115" s="19" t="str">
        <f t="shared" si="1"/>
        <v>Jan</v>
      </c>
      <c r="K115" s="19" t="str">
        <f>IF(I115&lt;=Calc!$B$2,"Yes","No")</f>
        <v>No</v>
      </c>
      <c r="L115" s="19">
        <f>IF(AND(OR(Dashboard!$W$6="All",C115=Dashboard!$W$6),OR(Dashboard!$W$7="All",D115=Dashboard!$W$7)),1,0)</f>
        <v>1</v>
      </c>
      <c r="M115" s="19">
        <f>L115*IF(OR(Dashboard!$W$8="All",J115=Dashboard!$W$8),1,0)</f>
        <v>1</v>
      </c>
    </row>
    <row r="116" spans="1:13" x14ac:dyDescent="0.25">
      <c r="A116" s="23">
        <v>46036.483599537001</v>
      </c>
      <c r="B116" s="19" t="s">
        <v>30</v>
      </c>
      <c r="C116" s="19" t="s">
        <v>27</v>
      </c>
      <c r="D116" s="19" t="s">
        <v>53</v>
      </c>
      <c r="E116" s="19" t="s">
        <v>293</v>
      </c>
      <c r="F116" s="19" t="s">
        <v>294</v>
      </c>
      <c r="G116" s="19" t="s">
        <v>93</v>
      </c>
      <c r="H116" s="19">
        <v>19</v>
      </c>
      <c r="I116" s="19">
        <v>92</v>
      </c>
      <c r="J116" s="19" t="str">
        <f t="shared" si="1"/>
        <v>Jan</v>
      </c>
      <c r="K116" s="19" t="str">
        <f>IF(I116&lt;=Calc!$B$2,"Yes","No")</f>
        <v>No</v>
      </c>
      <c r="L116" s="19">
        <f>IF(AND(OR(Dashboard!$W$6="All",C116=Dashboard!$W$6),OR(Dashboard!$W$7="All",D116=Dashboard!$W$7)),1,0)</f>
        <v>1</v>
      </c>
      <c r="M116" s="19">
        <f>L116*IF(OR(Dashboard!$W$8="All",J116=Dashboard!$W$8),1,0)</f>
        <v>1</v>
      </c>
    </row>
    <row r="117" spans="1:13" x14ac:dyDescent="0.25">
      <c r="A117" s="23">
        <v>46036.592812499999</v>
      </c>
      <c r="B117" s="19" t="s">
        <v>35</v>
      </c>
      <c r="C117" s="19" t="s">
        <v>29</v>
      </c>
      <c r="D117" s="19" t="s">
        <v>65</v>
      </c>
      <c r="E117" s="19" t="s">
        <v>295</v>
      </c>
      <c r="F117" s="19" t="s">
        <v>296</v>
      </c>
      <c r="G117" s="19" t="s">
        <v>64</v>
      </c>
      <c r="H117" s="19">
        <v>40</v>
      </c>
      <c r="I117" s="19">
        <v>110</v>
      </c>
      <c r="J117" s="19" t="str">
        <f t="shared" si="1"/>
        <v>Jan</v>
      </c>
      <c r="K117" s="19" t="str">
        <f>IF(I117&lt;=Calc!$B$2,"Yes","No")</f>
        <v>No</v>
      </c>
      <c r="L117" s="19">
        <f>IF(AND(OR(Dashboard!$W$6="All",C117=Dashboard!$W$6),OR(Dashboard!$W$7="All",D117=Dashboard!$W$7)),1,0)</f>
        <v>1</v>
      </c>
      <c r="M117" s="19">
        <f>L117*IF(OR(Dashboard!$W$8="All",J117=Dashboard!$W$8),1,0)</f>
        <v>1</v>
      </c>
    </row>
    <row r="118" spans="1:13" x14ac:dyDescent="0.25">
      <c r="A118" s="23">
        <v>46036.677858796298</v>
      </c>
      <c r="B118" s="19" t="s">
        <v>35</v>
      </c>
      <c r="C118" s="19" t="s">
        <v>25</v>
      </c>
      <c r="D118" s="19" t="s">
        <v>69</v>
      </c>
      <c r="E118" s="19" t="s">
        <v>297</v>
      </c>
      <c r="F118" s="19" t="s">
        <v>298</v>
      </c>
      <c r="G118" s="19" t="s">
        <v>64</v>
      </c>
      <c r="H118" s="19">
        <v>37</v>
      </c>
      <c r="I118" s="19">
        <v>179</v>
      </c>
      <c r="J118" s="19" t="str">
        <f t="shared" si="1"/>
        <v>Jan</v>
      </c>
      <c r="K118" s="19" t="str">
        <f>IF(I118&lt;=Calc!$B$2,"Yes","No")</f>
        <v>No</v>
      </c>
      <c r="L118" s="19">
        <f>IF(AND(OR(Dashboard!$W$6="All",C118=Dashboard!$W$6),OR(Dashboard!$W$7="All",D118=Dashboard!$W$7)),1,0)</f>
        <v>1</v>
      </c>
      <c r="M118" s="19">
        <f>L118*IF(OR(Dashboard!$W$8="All",J118=Dashboard!$W$8),1,0)</f>
        <v>1</v>
      </c>
    </row>
    <row r="119" spans="1:13" x14ac:dyDescent="0.25">
      <c r="A119" s="23">
        <v>46036.731331018498</v>
      </c>
      <c r="B119" s="19" t="s">
        <v>33</v>
      </c>
      <c r="C119" s="19" t="s">
        <v>25</v>
      </c>
      <c r="D119" s="19" t="s">
        <v>53</v>
      </c>
      <c r="E119" s="19" t="s">
        <v>299</v>
      </c>
      <c r="F119" s="19" t="s">
        <v>300</v>
      </c>
      <c r="G119" s="19" t="s">
        <v>68</v>
      </c>
      <c r="H119" s="19">
        <v>23</v>
      </c>
      <c r="I119" s="19">
        <v>177</v>
      </c>
      <c r="J119" s="19" t="str">
        <f t="shared" si="1"/>
        <v>Jan</v>
      </c>
      <c r="K119" s="19" t="str">
        <f>IF(I119&lt;=Calc!$B$2,"Yes","No")</f>
        <v>No</v>
      </c>
      <c r="L119" s="19">
        <f>IF(AND(OR(Dashboard!$W$6="All",C119=Dashboard!$W$6),OR(Dashboard!$W$7="All",D119=Dashboard!$W$7)),1,0)</f>
        <v>1</v>
      </c>
      <c r="M119" s="19">
        <f>L119*IF(OR(Dashboard!$W$8="All",J119=Dashboard!$W$8),1,0)</f>
        <v>1</v>
      </c>
    </row>
    <row r="120" spans="1:13" x14ac:dyDescent="0.25">
      <c r="A120" s="23">
        <v>46036.7531018519</v>
      </c>
      <c r="B120" s="19" t="s">
        <v>30</v>
      </c>
      <c r="C120" s="19" t="s">
        <v>31</v>
      </c>
      <c r="D120" s="19" t="s">
        <v>73</v>
      </c>
      <c r="E120" s="19" t="s">
        <v>301</v>
      </c>
      <c r="F120" s="19" t="s">
        <v>302</v>
      </c>
      <c r="G120" s="19" t="s">
        <v>93</v>
      </c>
      <c r="H120" s="19">
        <v>20</v>
      </c>
      <c r="I120" s="19">
        <v>86</v>
      </c>
      <c r="J120" s="19" t="str">
        <f t="shared" si="1"/>
        <v>Jan</v>
      </c>
      <c r="K120" s="19" t="str">
        <f>IF(I120&lt;=Calc!$B$2,"Yes","No")</f>
        <v>No</v>
      </c>
      <c r="L120" s="19">
        <f>IF(AND(OR(Dashboard!$W$6="All",C120=Dashboard!$W$6),OR(Dashboard!$W$7="All",D120=Dashboard!$W$7)),1,0)</f>
        <v>1</v>
      </c>
      <c r="M120" s="19">
        <f>L120*IF(OR(Dashboard!$W$8="All",J120=Dashboard!$W$8),1,0)</f>
        <v>1</v>
      </c>
    </row>
    <row r="121" spans="1:13" x14ac:dyDescent="0.25">
      <c r="A121" s="23">
        <v>46036.823090277801</v>
      </c>
      <c r="B121" s="19" t="s">
        <v>33</v>
      </c>
      <c r="C121" s="19" t="s">
        <v>29</v>
      </c>
      <c r="D121" s="19" t="s">
        <v>53</v>
      </c>
      <c r="E121" s="19" t="s">
        <v>303</v>
      </c>
      <c r="F121" s="19" t="s">
        <v>304</v>
      </c>
      <c r="G121" s="19" t="s">
        <v>68</v>
      </c>
      <c r="H121" s="19">
        <v>7</v>
      </c>
      <c r="I121" s="19">
        <v>163</v>
      </c>
      <c r="J121" s="19" t="str">
        <f t="shared" si="1"/>
        <v>Jan</v>
      </c>
      <c r="K121" s="19" t="str">
        <f>IF(I121&lt;=Calc!$B$2,"Yes","No")</f>
        <v>No</v>
      </c>
      <c r="L121" s="19">
        <f>IF(AND(OR(Dashboard!$W$6="All",C121=Dashboard!$W$6),OR(Dashboard!$W$7="All",D121=Dashboard!$W$7)),1,0)</f>
        <v>1</v>
      </c>
      <c r="M121" s="19">
        <f>L121*IF(OR(Dashboard!$W$8="All",J121=Dashboard!$W$8),1,0)</f>
        <v>1</v>
      </c>
    </row>
    <row r="122" spans="1:13" x14ac:dyDescent="0.25">
      <c r="A122" s="23">
        <v>46037.465428240699</v>
      </c>
      <c r="B122" s="19" t="s">
        <v>33</v>
      </c>
      <c r="C122" s="19" t="s">
        <v>27</v>
      </c>
      <c r="D122" s="19" t="s">
        <v>53</v>
      </c>
      <c r="E122" s="19" t="s">
        <v>305</v>
      </c>
      <c r="F122" s="19" t="s">
        <v>306</v>
      </c>
      <c r="G122" s="19" t="s">
        <v>68</v>
      </c>
      <c r="H122" s="19">
        <v>3</v>
      </c>
      <c r="I122" s="19">
        <v>80</v>
      </c>
      <c r="J122" s="19" t="str">
        <f t="shared" si="1"/>
        <v>Jan</v>
      </c>
      <c r="K122" s="19" t="str">
        <f>IF(I122&lt;=Calc!$B$2,"Yes","No")</f>
        <v>No</v>
      </c>
      <c r="L122" s="19">
        <f>IF(AND(OR(Dashboard!$W$6="All",C122=Dashboard!$W$6),OR(Dashboard!$W$7="All",D122=Dashboard!$W$7)),1,0)</f>
        <v>1</v>
      </c>
      <c r="M122" s="19">
        <f>L122*IF(OR(Dashboard!$W$8="All",J122=Dashboard!$W$8),1,0)</f>
        <v>1</v>
      </c>
    </row>
    <row r="123" spans="1:13" x14ac:dyDescent="0.25">
      <c r="A123" s="23">
        <v>46037.471724536997</v>
      </c>
      <c r="B123" s="19" t="s">
        <v>32</v>
      </c>
      <c r="C123" s="19" t="s">
        <v>25</v>
      </c>
      <c r="D123" s="19" t="s">
        <v>69</v>
      </c>
      <c r="E123" s="19" t="s">
        <v>307</v>
      </c>
      <c r="F123" s="19" t="s">
        <v>308</v>
      </c>
      <c r="G123" s="19" t="s">
        <v>72</v>
      </c>
      <c r="H123" s="19">
        <v>25</v>
      </c>
      <c r="I123" s="19">
        <v>139</v>
      </c>
      <c r="J123" s="19" t="str">
        <f t="shared" si="1"/>
        <v>Jan</v>
      </c>
      <c r="K123" s="19" t="str">
        <f>IF(I123&lt;=Calc!$B$2,"Yes","No")</f>
        <v>No</v>
      </c>
      <c r="L123" s="19">
        <f>IF(AND(OR(Dashboard!$W$6="All",C123=Dashboard!$W$6),OR(Dashboard!$W$7="All",D123=Dashboard!$W$7)),1,0)</f>
        <v>1</v>
      </c>
      <c r="M123" s="19">
        <f>L123*IF(OR(Dashboard!$W$8="All",J123=Dashboard!$W$8),1,0)</f>
        <v>1</v>
      </c>
    </row>
    <row r="124" spans="1:13" x14ac:dyDescent="0.25">
      <c r="A124" s="23">
        <v>46037.519675925898</v>
      </c>
      <c r="B124" s="19" t="s">
        <v>33</v>
      </c>
      <c r="C124" s="19" t="s">
        <v>27</v>
      </c>
      <c r="D124" s="19" t="s">
        <v>69</v>
      </c>
      <c r="E124" s="19" t="s">
        <v>309</v>
      </c>
      <c r="F124" s="19" t="s">
        <v>310</v>
      </c>
      <c r="G124" s="19" t="s">
        <v>68</v>
      </c>
      <c r="H124" s="19">
        <v>19</v>
      </c>
      <c r="I124" s="19">
        <v>63</v>
      </c>
      <c r="J124" s="19" t="str">
        <f t="shared" si="1"/>
        <v>Jan</v>
      </c>
      <c r="K124" s="19" t="str">
        <f>IF(I124&lt;=Calc!$B$2,"Yes","No")</f>
        <v>No</v>
      </c>
      <c r="L124" s="19">
        <f>IF(AND(OR(Dashboard!$W$6="All",C124=Dashboard!$W$6),OR(Dashboard!$W$7="All",D124=Dashboard!$W$7)),1,0)</f>
        <v>1</v>
      </c>
      <c r="M124" s="19">
        <f>L124*IF(OR(Dashboard!$W$8="All",J124=Dashboard!$W$8),1,0)</f>
        <v>1</v>
      </c>
    </row>
    <row r="125" spans="1:13" x14ac:dyDescent="0.25">
      <c r="A125" s="23">
        <v>46037.629930555602</v>
      </c>
      <c r="B125" s="19" t="s">
        <v>33</v>
      </c>
      <c r="C125" s="19" t="s">
        <v>25</v>
      </c>
      <c r="D125" s="19" t="s">
        <v>69</v>
      </c>
      <c r="E125" s="19" t="s">
        <v>311</v>
      </c>
      <c r="F125" s="19" t="s">
        <v>312</v>
      </c>
      <c r="G125" s="19" t="s">
        <v>68</v>
      </c>
      <c r="H125" s="19">
        <v>28</v>
      </c>
      <c r="I125" s="19">
        <v>126</v>
      </c>
      <c r="J125" s="19" t="str">
        <f t="shared" si="1"/>
        <v>Jan</v>
      </c>
      <c r="K125" s="19" t="str">
        <f>IF(I125&lt;=Calc!$B$2,"Yes","No")</f>
        <v>No</v>
      </c>
      <c r="L125" s="19">
        <f>IF(AND(OR(Dashboard!$W$6="All",C125=Dashboard!$W$6),OR(Dashboard!$W$7="All",D125=Dashboard!$W$7)),1,0)</f>
        <v>1</v>
      </c>
      <c r="M125" s="19">
        <f>L125*IF(OR(Dashboard!$W$8="All",J125=Dashboard!$W$8),1,0)</f>
        <v>1</v>
      </c>
    </row>
    <row r="126" spans="1:13" x14ac:dyDescent="0.25">
      <c r="A126" s="23">
        <v>46037.639131944401</v>
      </c>
      <c r="B126" s="19" t="s">
        <v>35</v>
      </c>
      <c r="C126" s="19" t="s">
        <v>27</v>
      </c>
      <c r="D126" s="19" t="s">
        <v>69</v>
      </c>
      <c r="E126" s="19" t="s">
        <v>313</v>
      </c>
      <c r="F126" s="19" t="s">
        <v>314</v>
      </c>
      <c r="G126" s="19" t="s">
        <v>64</v>
      </c>
      <c r="H126" s="19">
        <v>4</v>
      </c>
      <c r="I126" s="19">
        <v>58</v>
      </c>
      <c r="J126" s="19" t="str">
        <f t="shared" si="1"/>
        <v>Jan</v>
      </c>
      <c r="K126" s="19" t="str">
        <f>IF(I126&lt;=Calc!$B$2,"Yes","No")</f>
        <v>Yes</v>
      </c>
      <c r="L126" s="19">
        <f>IF(AND(OR(Dashboard!$W$6="All",C126=Dashboard!$W$6),OR(Dashboard!$W$7="All",D126=Dashboard!$W$7)),1,0)</f>
        <v>1</v>
      </c>
      <c r="M126" s="19">
        <f>L126*IF(OR(Dashboard!$W$8="All",J126=Dashboard!$W$8),1,0)</f>
        <v>1</v>
      </c>
    </row>
    <row r="127" spans="1:13" x14ac:dyDescent="0.25">
      <c r="A127" s="23">
        <v>46037.647152777798</v>
      </c>
      <c r="B127" s="19" t="s">
        <v>32</v>
      </c>
      <c r="C127" s="19" t="s">
        <v>31</v>
      </c>
      <c r="D127" s="19" t="s">
        <v>53</v>
      </c>
      <c r="E127" s="19" t="s">
        <v>315</v>
      </c>
      <c r="F127" s="19" t="s">
        <v>316</v>
      </c>
      <c r="G127" s="19" t="s">
        <v>72</v>
      </c>
      <c r="H127" s="19">
        <v>10</v>
      </c>
      <c r="I127" s="19">
        <v>100</v>
      </c>
      <c r="J127" s="19" t="str">
        <f t="shared" si="1"/>
        <v>Jan</v>
      </c>
      <c r="K127" s="19" t="str">
        <f>IF(I127&lt;=Calc!$B$2,"Yes","No")</f>
        <v>No</v>
      </c>
      <c r="L127" s="19">
        <f>IF(AND(OR(Dashboard!$W$6="All",C127=Dashboard!$W$6),OR(Dashboard!$W$7="All",D127=Dashboard!$W$7)),1,0)</f>
        <v>1</v>
      </c>
      <c r="M127" s="19">
        <f>L127*IF(OR(Dashboard!$W$8="All",J127=Dashboard!$W$8),1,0)</f>
        <v>1</v>
      </c>
    </row>
    <row r="128" spans="1:13" x14ac:dyDescent="0.25">
      <c r="A128" s="23">
        <v>46037.823796296303</v>
      </c>
      <c r="B128" s="19" t="s">
        <v>36</v>
      </c>
      <c r="C128" s="19" t="s">
        <v>27</v>
      </c>
      <c r="D128" s="19" t="s">
        <v>65</v>
      </c>
      <c r="E128" s="19" t="s">
        <v>317</v>
      </c>
      <c r="F128" s="19" t="s">
        <v>318</v>
      </c>
      <c r="G128" s="19" t="s">
        <v>59</v>
      </c>
      <c r="H128" s="19">
        <v>7</v>
      </c>
      <c r="I128" s="19">
        <v>38</v>
      </c>
      <c r="J128" s="19" t="str">
        <f t="shared" si="1"/>
        <v>Jan</v>
      </c>
      <c r="K128" s="19" t="str">
        <f>IF(I128&lt;=Calc!$B$2,"Yes","No")</f>
        <v>Yes</v>
      </c>
      <c r="L128" s="19">
        <f>IF(AND(OR(Dashboard!$W$6="All",C128=Dashboard!$W$6),OR(Dashboard!$W$7="All",D128=Dashboard!$W$7)),1,0)</f>
        <v>1</v>
      </c>
      <c r="M128" s="19">
        <f>L128*IF(OR(Dashboard!$W$8="All",J128=Dashboard!$W$8),1,0)</f>
        <v>1</v>
      </c>
    </row>
    <row r="129" spans="1:13" x14ac:dyDescent="0.25">
      <c r="A129" s="23">
        <v>46037.853958333297</v>
      </c>
      <c r="B129" s="19" t="s">
        <v>32</v>
      </c>
      <c r="C129" s="19" t="s">
        <v>29</v>
      </c>
      <c r="D129" s="19" t="s">
        <v>73</v>
      </c>
      <c r="E129" s="19" t="s">
        <v>319</v>
      </c>
      <c r="F129" s="19" t="s">
        <v>320</v>
      </c>
      <c r="G129" s="19" t="s">
        <v>72</v>
      </c>
      <c r="H129" s="19">
        <v>17</v>
      </c>
      <c r="I129" s="19">
        <v>94</v>
      </c>
      <c r="J129" s="19" t="str">
        <f t="shared" si="1"/>
        <v>Jan</v>
      </c>
      <c r="K129" s="19" t="str">
        <f>IF(I129&lt;=Calc!$B$2,"Yes","No")</f>
        <v>No</v>
      </c>
      <c r="L129" s="19">
        <f>IF(AND(OR(Dashboard!$W$6="All",C129=Dashboard!$W$6),OR(Dashboard!$W$7="All",D129=Dashboard!$W$7)),1,0)</f>
        <v>1</v>
      </c>
      <c r="M129" s="19">
        <f>L129*IF(OR(Dashboard!$W$8="All",J129=Dashboard!$W$8),1,0)</f>
        <v>1</v>
      </c>
    </row>
    <row r="130" spans="1:13" x14ac:dyDescent="0.25">
      <c r="A130" s="23">
        <v>46037.965821759302</v>
      </c>
      <c r="B130" s="19" t="s">
        <v>36</v>
      </c>
      <c r="C130" s="19" t="s">
        <v>27</v>
      </c>
      <c r="D130" s="19" t="s">
        <v>53</v>
      </c>
      <c r="E130" s="19" t="s">
        <v>321</v>
      </c>
      <c r="F130" s="19" t="s">
        <v>322</v>
      </c>
      <c r="G130" s="19" t="s">
        <v>59</v>
      </c>
      <c r="H130" s="19">
        <v>10</v>
      </c>
      <c r="I130" s="19">
        <v>53</v>
      </c>
      <c r="J130" s="19" t="str">
        <f t="shared" ref="J130:J193" si="2">CHOOSE(MONTH(A130),"Jan","Feb","Mar","Apr","May","Jun","Jul","Aug","Sep","Oct","Nov","Dec")</f>
        <v>Jan</v>
      </c>
      <c r="K130" s="19" t="str">
        <f>IF(I130&lt;=Calc!$B$2,"Yes","No")</f>
        <v>Yes</v>
      </c>
      <c r="L130" s="19">
        <f>IF(AND(OR(Dashboard!$W$6="All",C130=Dashboard!$W$6),OR(Dashboard!$W$7="All",D130=Dashboard!$W$7)),1,0)</f>
        <v>1</v>
      </c>
      <c r="M130" s="19">
        <f>L130*IF(OR(Dashboard!$W$8="All",J130=Dashboard!$W$8),1,0)</f>
        <v>1</v>
      </c>
    </row>
    <row r="131" spans="1:13" x14ac:dyDescent="0.25">
      <c r="A131" s="23">
        <v>46037.978796296302</v>
      </c>
      <c r="B131" s="19" t="s">
        <v>28</v>
      </c>
      <c r="C131" s="19" t="s">
        <v>27</v>
      </c>
      <c r="D131" s="19" t="s">
        <v>65</v>
      </c>
      <c r="E131" s="19" t="s">
        <v>323</v>
      </c>
      <c r="F131" s="19" t="s">
        <v>324</v>
      </c>
      <c r="G131" s="19" t="s">
        <v>90</v>
      </c>
      <c r="H131" s="19">
        <v>13</v>
      </c>
      <c r="I131" s="19">
        <v>102</v>
      </c>
      <c r="J131" s="19" t="str">
        <f t="shared" si="2"/>
        <v>Jan</v>
      </c>
      <c r="K131" s="19" t="str">
        <f>IF(I131&lt;=Calc!$B$2,"Yes","No")</f>
        <v>No</v>
      </c>
      <c r="L131" s="19">
        <f>IF(AND(OR(Dashboard!$W$6="All",C131=Dashboard!$W$6),OR(Dashboard!$W$7="All",D131=Dashboard!$W$7)),1,0)</f>
        <v>1</v>
      </c>
      <c r="M131" s="19">
        <f>L131*IF(OR(Dashboard!$W$8="All",J131=Dashboard!$W$8),1,0)</f>
        <v>1</v>
      </c>
    </row>
    <row r="132" spans="1:13" x14ac:dyDescent="0.25">
      <c r="A132" s="23">
        <v>46037.986979166701</v>
      </c>
      <c r="B132" s="19" t="s">
        <v>32</v>
      </c>
      <c r="C132" s="19" t="s">
        <v>29</v>
      </c>
      <c r="D132" s="19" t="s">
        <v>69</v>
      </c>
      <c r="E132" s="19" t="s">
        <v>325</v>
      </c>
      <c r="F132" s="19" t="s">
        <v>326</v>
      </c>
      <c r="G132" s="19" t="s">
        <v>72</v>
      </c>
      <c r="H132" s="19">
        <v>35</v>
      </c>
      <c r="I132" s="19">
        <v>156</v>
      </c>
      <c r="J132" s="19" t="str">
        <f t="shared" si="2"/>
        <v>Jan</v>
      </c>
      <c r="K132" s="19" t="str">
        <f>IF(I132&lt;=Calc!$B$2,"Yes","No")</f>
        <v>No</v>
      </c>
      <c r="L132" s="19">
        <f>IF(AND(OR(Dashboard!$W$6="All",C132=Dashboard!$W$6),OR(Dashboard!$W$7="All",D132=Dashboard!$W$7)),1,0)</f>
        <v>1</v>
      </c>
      <c r="M132" s="19">
        <f>L132*IF(OR(Dashboard!$W$8="All",J132=Dashboard!$W$8),1,0)</f>
        <v>1</v>
      </c>
    </row>
    <row r="133" spans="1:13" x14ac:dyDescent="0.25">
      <c r="A133" s="23">
        <v>46038.095555555599</v>
      </c>
      <c r="B133" s="19" t="s">
        <v>34</v>
      </c>
      <c r="C133" s="19" t="s">
        <v>27</v>
      </c>
      <c r="D133" s="19" t="s">
        <v>53</v>
      </c>
      <c r="E133" s="19" t="s">
        <v>327</v>
      </c>
      <c r="F133" s="19" t="s">
        <v>328</v>
      </c>
      <c r="G133" s="19" t="s">
        <v>56</v>
      </c>
      <c r="H133" s="19">
        <v>12</v>
      </c>
      <c r="I133" s="19">
        <v>46</v>
      </c>
      <c r="J133" s="19" t="str">
        <f t="shared" si="2"/>
        <v>Jan</v>
      </c>
      <c r="K133" s="19" t="str">
        <f>IF(I133&lt;=Calc!$B$2,"Yes","No")</f>
        <v>Yes</v>
      </c>
      <c r="L133" s="19">
        <f>IF(AND(OR(Dashboard!$W$6="All",C133=Dashboard!$W$6),OR(Dashboard!$W$7="All",D133=Dashboard!$W$7)),1,0)</f>
        <v>1</v>
      </c>
      <c r="M133" s="19">
        <f>L133*IF(OR(Dashboard!$W$8="All",J133=Dashboard!$W$8),1,0)</f>
        <v>1</v>
      </c>
    </row>
    <row r="134" spans="1:13" x14ac:dyDescent="0.25">
      <c r="A134" s="23">
        <v>46038.315694444398</v>
      </c>
      <c r="B134" s="19" t="s">
        <v>30</v>
      </c>
      <c r="C134" s="19" t="s">
        <v>31</v>
      </c>
      <c r="D134" s="19" t="s">
        <v>65</v>
      </c>
      <c r="E134" s="19" t="s">
        <v>329</v>
      </c>
      <c r="F134" s="19" t="s">
        <v>330</v>
      </c>
      <c r="G134" s="19" t="s">
        <v>93</v>
      </c>
      <c r="H134" s="19">
        <v>21</v>
      </c>
      <c r="I134" s="19">
        <v>61</v>
      </c>
      <c r="J134" s="19" t="str">
        <f t="shared" si="2"/>
        <v>Jan</v>
      </c>
      <c r="K134" s="19" t="str">
        <f>IF(I134&lt;=Calc!$B$2,"Yes","No")</f>
        <v>No</v>
      </c>
      <c r="L134" s="19">
        <f>IF(AND(OR(Dashboard!$W$6="All",C134=Dashboard!$W$6),OR(Dashboard!$W$7="All",D134=Dashboard!$W$7)),1,0)</f>
        <v>1</v>
      </c>
      <c r="M134" s="19">
        <f>L134*IF(OR(Dashboard!$W$8="All",J134=Dashboard!$W$8),1,0)</f>
        <v>1</v>
      </c>
    </row>
    <row r="135" spans="1:13" x14ac:dyDescent="0.25">
      <c r="A135" s="23">
        <v>46038.338668981502</v>
      </c>
      <c r="B135" s="19" t="s">
        <v>34</v>
      </c>
      <c r="C135" s="19" t="s">
        <v>29</v>
      </c>
      <c r="D135" s="19" t="s">
        <v>69</v>
      </c>
      <c r="E135" s="19" t="s">
        <v>331</v>
      </c>
      <c r="F135" s="19" t="s">
        <v>332</v>
      </c>
      <c r="G135" s="19" t="s">
        <v>56</v>
      </c>
      <c r="H135" s="19">
        <v>52</v>
      </c>
      <c r="I135" s="19">
        <v>179</v>
      </c>
      <c r="J135" s="19" t="str">
        <f t="shared" si="2"/>
        <v>Jan</v>
      </c>
      <c r="K135" s="19" t="str">
        <f>IF(I135&lt;=Calc!$B$2,"Yes","No")</f>
        <v>No</v>
      </c>
      <c r="L135" s="19">
        <f>IF(AND(OR(Dashboard!$W$6="All",C135=Dashboard!$W$6),OR(Dashboard!$W$7="All",D135=Dashboard!$W$7)),1,0)</f>
        <v>1</v>
      </c>
      <c r="M135" s="19">
        <f>L135*IF(OR(Dashboard!$W$8="All",J135=Dashboard!$W$8),1,0)</f>
        <v>1</v>
      </c>
    </row>
    <row r="136" spans="1:13" x14ac:dyDescent="0.25">
      <c r="A136" s="23">
        <v>46038.4589583333</v>
      </c>
      <c r="B136" s="19" t="s">
        <v>28</v>
      </c>
      <c r="C136" s="19" t="s">
        <v>27</v>
      </c>
      <c r="D136" s="19" t="s">
        <v>53</v>
      </c>
      <c r="E136" s="19" t="s">
        <v>333</v>
      </c>
      <c r="F136" s="19" t="s">
        <v>334</v>
      </c>
      <c r="G136" s="19" t="s">
        <v>90</v>
      </c>
      <c r="H136" s="19">
        <v>15</v>
      </c>
      <c r="I136" s="19">
        <v>58</v>
      </c>
      <c r="J136" s="19" t="str">
        <f t="shared" si="2"/>
        <v>Jan</v>
      </c>
      <c r="K136" s="19" t="str">
        <f>IF(I136&lt;=Calc!$B$2,"Yes","No")</f>
        <v>Yes</v>
      </c>
      <c r="L136" s="19">
        <f>IF(AND(OR(Dashboard!$W$6="All",C136=Dashboard!$W$6),OR(Dashboard!$W$7="All",D136=Dashboard!$W$7)),1,0)</f>
        <v>1</v>
      </c>
      <c r="M136" s="19">
        <f>L136*IF(OR(Dashboard!$W$8="All",J136=Dashboard!$W$8),1,0)</f>
        <v>1</v>
      </c>
    </row>
    <row r="137" spans="1:13" x14ac:dyDescent="0.25">
      <c r="A137" s="23">
        <v>46038.533159722203</v>
      </c>
      <c r="B137" s="19" t="s">
        <v>35</v>
      </c>
      <c r="C137" s="19" t="s">
        <v>27</v>
      </c>
      <c r="D137" s="19" t="s">
        <v>69</v>
      </c>
      <c r="E137" s="19" t="s">
        <v>335</v>
      </c>
      <c r="F137" s="19" t="s">
        <v>336</v>
      </c>
      <c r="G137" s="19" t="s">
        <v>64</v>
      </c>
      <c r="H137" s="19">
        <v>3</v>
      </c>
      <c r="I137" s="19">
        <v>103</v>
      </c>
      <c r="J137" s="19" t="str">
        <f t="shared" si="2"/>
        <v>Jan</v>
      </c>
      <c r="K137" s="19" t="str">
        <f>IF(I137&lt;=Calc!$B$2,"Yes","No")</f>
        <v>No</v>
      </c>
      <c r="L137" s="19">
        <f>IF(AND(OR(Dashboard!$W$6="All",C137=Dashboard!$W$6),OR(Dashboard!$W$7="All",D137=Dashboard!$W$7)),1,0)</f>
        <v>1</v>
      </c>
      <c r="M137" s="19">
        <f>L137*IF(OR(Dashboard!$W$8="All",J137=Dashboard!$W$8),1,0)</f>
        <v>1</v>
      </c>
    </row>
    <row r="138" spans="1:13" x14ac:dyDescent="0.25">
      <c r="A138" s="23">
        <v>46038.570729166699</v>
      </c>
      <c r="B138" s="19" t="s">
        <v>33</v>
      </c>
      <c r="C138" s="19" t="s">
        <v>27</v>
      </c>
      <c r="D138" s="19" t="s">
        <v>53</v>
      </c>
      <c r="E138" s="19" t="s">
        <v>337</v>
      </c>
      <c r="F138" s="19" t="s">
        <v>338</v>
      </c>
      <c r="G138" s="19" t="s">
        <v>68</v>
      </c>
      <c r="H138" s="19">
        <v>8</v>
      </c>
      <c r="I138" s="19">
        <v>91</v>
      </c>
      <c r="J138" s="19" t="str">
        <f t="shared" si="2"/>
        <v>Jan</v>
      </c>
      <c r="K138" s="19" t="str">
        <f>IF(I138&lt;=Calc!$B$2,"Yes","No")</f>
        <v>No</v>
      </c>
      <c r="L138" s="19">
        <f>IF(AND(OR(Dashboard!$W$6="All",C138=Dashboard!$W$6),OR(Dashboard!$W$7="All",D138=Dashboard!$W$7)),1,0)</f>
        <v>1</v>
      </c>
      <c r="M138" s="19">
        <f>L138*IF(OR(Dashboard!$W$8="All",J138=Dashboard!$W$8),1,0)</f>
        <v>1</v>
      </c>
    </row>
    <row r="139" spans="1:13" x14ac:dyDescent="0.25">
      <c r="A139" s="23">
        <v>46038.614537037</v>
      </c>
      <c r="B139" s="19" t="s">
        <v>35</v>
      </c>
      <c r="C139" s="19" t="s">
        <v>25</v>
      </c>
      <c r="D139" s="19" t="s">
        <v>69</v>
      </c>
      <c r="E139" s="19" t="s">
        <v>339</v>
      </c>
      <c r="F139" s="19" t="s">
        <v>340</v>
      </c>
      <c r="G139" s="19" t="s">
        <v>64</v>
      </c>
      <c r="H139" s="19">
        <v>22</v>
      </c>
      <c r="I139" s="19">
        <v>180</v>
      </c>
      <c r="J139" s="19" t="str">
        <f t="shared" si="2"/>
        <v>Jan</v>
      </c>
      <c r="K139" s="19" t="str">
        <f>IF(I139&lt;=Calc!$B$2,"Yes","No")</f>
        <v>No</v>
      </c>
      <c r="L139" s="19">
        <f>IF(AND(OR(Dashboard!$W$6="All",C139=Dashboard!$W$6),OR(Dashboard!$W$7="All",D139=Dashboard!$W$7)),1,0)</f>
        <v>1</v>
      </c>
      <c r="M139" s="19">
        <f>L139*IF(OR(Dashboard!$W$8="All",J139=Dashboard!$W$8),1,0)</f>
        <v>1</v>
      </c>
    </row>
    <row r="140" spans="1:13" x14ac:dyDescent="0.25">
      <c r="A140" s="23">
        <v>46038.6246412037</v>
      </c>
      <c r="B140" s="19" t="s">
        <v>35</v>
      </c>
      <c r="C140" s="19" t="s">
        <v>25</v>
      </c>
      <c r="D140" s="19" t="s">
        <v>69</v>
      </c>
      <c r="E140" s="19" t="s">
        <v>341</v>
      </c>
      <c r="F140" s="19" t="s">
        <v>342</v>
      </c>
      <c r="G140" s="19" t="s">
        <v>64</v>
      </c>
      <c r="H140" s="19">
        <v>28</v>
      </c>
      <c r="I140" s="19">
        <v>171</v>
      </c>
      <c r="J140" s="19" t="str">
        <f t="shared" si="2"/>
        <v>Jan</v>
      </c>
      <c r="K140" s="19" t="str">
        <f>IF(I140&lt;=Calc!$B$2,"Yes","No")</f>
        <v>No</v>
      </c>
      <c r="L140" s="19">
        <f>IF(AND(OR(Dashboard!$W$6="All",C140=Dashboard!$W$6),OR(Dashboard!$W$7="All",D140=Dashboard!$W$7)),1,0)</f>
        <v>1</v>
      </c>
      <c r="M140" s="19">
        <f>L140*IF(OR(Dashboard!$W$8="All",J140=Dashboard!$W$8),1,0)</f>
        <v>1</v>
      </c>
    </row>
    <row r="141" spans="1:13" x14ac:dyDescent="0.25">
      <c r="A141" s="23">
        <v>46038.7342824074</v>
      </c>
      <c r="B141" s="19" t="s">
        <v>32</v>
      </c>
      <c r="C141" s="19" t="s">
        <v>27</v>
      </c>
      <c r="D141" s="19" t="s">
        <v>69</v>
      </c>
      <c r="E141" s="19" t="s">
        <v>343</v>
      </c>
      <c r="F141" s="19" t="s">
        <v>344</v>
      </c>
      <c r="G141" s="19" t="s">
        <v>72</v>
      </c>
      <c r="H141" s="19">
        <v>4</v>
      </c>
      <c r="I141" s="19">
        <v>63</v>
      </c>
      <c r="J141" s="19" t="str">
        <f t="shared" si="2"/>
        <v>Jan</v>
      </c>
      <c r="K141" s="19" t="str">
        <f>IF(I141&lt;=Calc!$B$2,"Yes","No")</f>
        <v>No</v>
      </c>
      <c r="L141" s="19">
        <f>IF(AND(OR(Dashboard!$W$6="All",C141=Dashboard!$W$6),OR(Dashboard!$W$7="All",D141=Dashboard!$W$7)),1,0)</f>
        <v>1</v>
      </c>
      <c r="M141" s="19">
        <f>L141*IF(OR(Dashboard!$W$8="All",J141=Dashboard!$W$8),1,0)</f>
        <v>1</v>
      </c>
    </row>
    <row r="142" spans="1:13" x14ac:dyDescent="0.25">
      <c r="A142" s="23">
        <v>46039.072256944499</v>
      </c>
      <c r="B142" s="19" t="s">
        <v>30</v>
      </c>
      <c r="C142" s="19" t="s">
        <v>25</v>
      </c>
      <c r="D142" s="19" t="s">
        <v>53</v>
      </c>
      <c r="E142" s="19" t="s">
        <v>345</v>
      </c>
      <c r="F142" s="19" t="s">
        <v>346</v>
      </c>
      <c r="G142" s="19" t="s">
        <v>93</v>
      </c>
      <c r="H142" s="19">
        <v>39</v>
      </c>
      <c r="I142" s="19">
        <v>207</v>
      </c>
      <c r="J142" s="19" t="str">
        <f t="shared" si="2"/>
        <v>Jan</v>
      </c>
      <c r="K142" s="19" t="str">
        <f>IF(I142&lt;=Calc!$B$2,"Yes","No")</f>
        <v>No</v>
      </c>
      <c r="L142" s="19">
        <f>IF(AND(OR(Dashboard!$W$6="All",C142=Dashboard!$W$6),OR(Dashboard!$W$7="All",D142=Dashboard!$W$7)),1,0)</f>
        <v>1</v>
      </c>
      <c r="M142" s="19">
        <f>L142*IF(OR(Dashboard!$W$8="All",J142=Dashboard!$W$8),1,0)</f>
        <v>1</v>
      </c>
    </row>
    <row r="143" spans="1:13" x14ac:dyDescent="0.25">
      <c r="A143" s="23">
        <v>46039.202569444496</v>
      </c>
      <c r="B143" s="19" t="s">
        <v>32</v>
      </c>
      <c r="C143" s="19" t="s">
        <v>25</v>
      </c>
      <c r="D143" s="19" t="s">
        <v>73</v>
      </c>
      <c r="E143" s="19" t="s">
        <v>347</v>
      </c>
      <c r="F143" s="19" t="s">
        <v>348</v>
      </c>
      <c r="G143" s="19" t="s">
        <v>72</v>
      </c>
      <c r="H143" s="19">
        <v>48</v>
      </c>
      <c r="I143" s="19">
        <v>188</v>
      </c>
      <c r="J143" s="19" t="str">
        <f t="shared" si="2"/>
        <v>Jan</v>
      </c>
      <c r="K143" s="19" t="str">
        <f>IF(I143&lt;=Calc!$B$2,"Yes","No")</f>
        <v>No</v>
      </c>
      <c r="L143" s="19">
        <f>IF(AND(OR(Dashboard!$W$6="All",C143=Dashboard!$W$6),OR(Dashboard!$W$7="All",D143=Dashboard!$W$7)),1,0)</f>
        <v>1</v>
      </c>
      <c r="M143" s="19">
        <f>L143*IF(OR(Dashboard!$W$8="All",J143=Dashboard!$W$8),1,0)</f>
        <v>1</v>
      </c>
    </row>
    <row r="144" spans="1:13" x14ac:dyDescent="0.25">
      <c r="A144" s="23">
        <v>46039.324062500003</v>
      </c>
      <c r="B144" s="19" t="s">
        <v>35</v>
      </c>
      <c r="C144" s="19" t="s">
        <v>25</v>
      </c>
      <c r="D144" s="19" t="s">
        <v>73</v>
      </c>
      <c r="E144" s="19" t="s">
        <v>349</v>
      </c>
      <c r="F144" s="19" t="s">
        <v>350</v>
      </c>
      <c r="G144" s="19" t="s">
        <v>64</v>
      </c>
      <c r="H144" s="19">
        <v>29</v>
      </c>
      <c r="I144" s="19">
        <v>127</v>
      </c>
      <c r="J144" s="19" t="str">
        <f t="shared" si="2"/>
        <v>Jan</v>
      </c>
      <c r="K144" s="19" t="str">
        <f>IF(I144&lt;=Calc!$B$2,"Yes","No")</f>
        <v>No</v>
      </c>
      <c r="L144" s="19">
        <f>IF(AND(OR(Dashboard!$W$6="All",C144=Dashboard!$W$6),OR(Dashboard!$W$7="All",D144=Dashboard!$W$7)),1,0)</f>
        <v>1</v>
      </c>
      <c r="M144" s="19">
        <f>L144*IF(OR(Dashboard!$W$8="All",J144=Dashboard!$W$8),1,0)</f>
        <v>1</v>
      </c>
    </row>
    <row r="145" spans="1:13" x14ac:dyDescent="0.25">
      <c r="A145" s="23">
        <v>46039.347812499997</v>
      </c>
      <c r="B145" s="19" t="s">
        <v>28</v>
      </c>
      <c r="C145" s="19" t="s">
        <v>27</v>
      </c>
      <c r="D145" s="19" t="s">
        <v>73</v>
      </c>
      <c r="E145" s="19" t="s">
        <v>351</v>
      </c>
      <c r="F145" s="19" t="s">
        <v>352</v>
      </c>
      <c r="G145" s="19" t="s">
        <v>90</v>
      </c>
      <c r="H145" s="19">
        <v>1</v>
      </c>
      <c r="I145" s="19">
        <v>52</v>
      </c>
      <c r="J145" s="19" t="str">
        <f t="shared" si="2"/>
        <v>Jan</v>
      </c>
      <c r="K145" s="19" t="str">
        <f>IF(I145&lt;=Calc!$B$2,"Yes","No")</f>
        <v>Yes</v>
      </c>
      <c r="L145" s="19">
        <f>IF(AND(OR(Dashboard!$W$6="All",C145=Dashboard!$W$6),OR(Dashboard!$W$7="All",D145=Dashboard!$W$7)),1,0)</f>
        <v>1</v>
      </c>
      <c r="M145" s="19">
        <f>L145*IF(OR(Dashboard!$W$8="All",J145=Dashboard!$W$8),1,0)</f>
        <v>1</v>
      </c>
    </row>
    <row r="146" spans="1:13" x14ac:dyDescent="0.25">
      <c r="A146" s="23">
        <v>46039.373263888898</v>
      </c>
      <c r="B146" s="19" t="s">
        <v>30</v>
      </c>
      <c r="C146" s="19" t="s">
        <v>25</v>
      </c>
      <c r="D146" s="19" t="s">
        <v>73</v>
      </c>
      <c r="E146" s="19" t="s">
        <v>353</v>
      </c>
      <c r="F146" s="19" t="s">
        <v>354</v>
      </c>
      <c r="G146" s="19" t="s">
        <v>93</v>
      </c>
      <c r="H146" s="19">
        <v>38</v>
      </c>
      <c r="I146" s="19">
        <v>87</v>
      </c>
      <c r="J146" s="19" t="str">
        <f t="shared" si="2"/>
        <v>Jan</v>
      </c>
      <c r="K146" s="19" t="str">
        <f>IF(I146&lt;=Calc!$B$2,"Yes","No")</f>
        <v>No</v>
      </c>
      <c r="L146" s="19">
        <f>IF(AND(OR(Dashboard!$W$6="All",C146=Dashboard!$W$6),OR(Dashboard!$W$7="All",D146=Dashboard!$W$7)),1,0)</f>
        <v>1</v>
      </c>
      <c r="M146" s="19">
        <f>L146*IF(OR(Dashboard!$W$8="All",J146=Dashboard!$W$8),1,0)</f>
        <v>1</v>
      </c>
    </row>
    <row r="147" spans="1:13" x14ac:dyDescent="0.25">
      <c r="A147" s="23">
        <v>46039.750752314802</v>
      </c>
      <c r="B147" s="19" t="s">
        <v>36</v>
      </c>
      <c r="C147" s="19" t="s">
        <v>27</v>
      </c>
      <c r="D147" s="19" t="s">
        <v>65</v>
      </c>
      <c r="E147" s="19" t="s">
        <v>355</v>
      </c>
      <c r="F147" s="19" t="s">
        <v>356</v>
      </c>
      <c r="G147" s="19" t="s">
        <v>59</v>
      </c>
      <c r="H147" s="19">
        <v>3</v>
      </c>
      <c r="I147" s="19">
        <v>110</v>
      </c>
      <c r="J147" s="19" t="str">
        <f t="shared" si="2"/>
        <v>Jan</v>
      </c>
      <c r="K147" s="19" t="str">
        <f>IF(I147&lt;=Calc!$B$2,"Yes","No")</f>
        <v>No</v>
      </c>
      <c r="L147" s="19">
        <f>IF(AND(OR(Dashboard!$W$6="All",C147=Dashboard!$W$6),OR(Dashboard!$W$7="All",D147=Dashboard!$W$7)),1,0)</f>
        <v>1</v>
      </c>
      <c r="M147" s="19">
        <f>L147*IF(OR(Dashboard!$W$8="All",J147=Dashboard!$W$8),1,0)</f>
        <v>1</v>
      </c>
    </row>
    <row r="148" spans="1:13" x14ac:dyDescent="0.25">
      <c r="A148" s="23">
        <v>46039.819421296299</v>
      </c>
      <c r="B148" s="19" t="s">
        <v>30</v>
      </c>
      <c r="C148" s="19" t="s">
        <v>25</v>
      </c>
      <c r="D148" s="19" t="s">
        <v>69</v>
      </c>
      <c r="E148" s="19" t="s">
        <v>357</v>
      </c>
      <c r="F148" s="19" t="s">
        <v>358</v>
      </c>
      <c r="G148" s="19" t="s">
        <v>93</v>
      </c>
      <c r="H148" s="19">
        <v>35</v>
      </c>
      <c r="I148" s="19">
        <v>194</v>
      </c>
      <c r="J148" s="19" t="str">
        <f t="shared" si="2"/>
        <v>Jan</v>
      </c>
      <c r="K148" s="19" t="str">
        <f>IF(I148&lt;=Calc!$B$2,"Yes","No")</f>
        <v>No</v>
      </c>
      <c r="L148" s="19">
        <f>IF(AND(OR(Dashboard!$W$6="All",C148=Dashboard!$W$6),OR(Dashboard!$W$7="All",D148=Dashboard!$W$7)),1,0)</f>
        <v>1</v>
      </c>
      <c r="M148" s="19">
        <f>L148*IF(OR(Dashboard!$W$8="All",J148=Dashboard!$W$8),1,0)</f>
        <v>1</v>
      </c>
    </row>
    <row r="149" spans="1:13" x14ac:dyDescent="0.25">
      <c r="A149" s="23">
        <v>46039.8808796296</v>
      </c>
      <c r="B149" s="19" t="s">
        <v>26</v>
      </c>
      <c r="C149" s="19" t="s">
        <v>25</v>
      </c>
      <c r="D149" s="19" t="s">
        <v>65</v>
      </c>
      <c r="E149" s="19" t="s">
        <v>359</v>
      </c>
      <c r="F149" s="19" t="s">
        <v>360</v>
      </c>
      <c r="G149" s="19" t="s">
        <v>100</v>
      </c>
      <c r="H149" s="19">
        <v>26</v>
      </c>
      <c r="I149" s="19">
        <v>125</v>
      </c>
      <c r="J149" s="19" t="str">
        <f t="shared" si="2"/>
        <v>Jan</v>
      </c>
      <c r="K149" s="19" t="str">
        <f>IF(I149&lt;=Calc!$B$2,"Yes","No")</f>
        <v>No</v>
      </c>
      <c r="L149" s="19">
        <f>IF(AND(OR(Dashboard!$W$6="All",C149=Dashboard!$W$6),OR(Dashboard!$W$7="All",D149=Dashboard!$W$7)),1,0)</f>
        <v>1</v>
      </c>
      <c r="M149" s="19">
        <f>L149*IF(OR(Dashboard!$W$8="All",J149=Dashboard!$W$8),1,0)</f>
        <v>1</v>
      </c>
    </row>
    <row r="150" spans="1:13" x14ac:dyDescent="0.25">
      <c r="A150" s="23">
        <v>46039.941979166702</v>
      </c>
      <c r="B150" s="19" t="s">
        <v>34</v>
      </c>
      <c r="C150" s="19" t="s">
        <v>25</v>
      </c>
      <c r="D150" s="19" t="s">
        <v>53</v>
      </c>
      <c r="E150" s="19" t="s">
        <v>361</v>
      </c>
      <c r="F150" s="19" t="s">
        <v>362</v>
      </c>
      <c r="G150" s="19" t="s">
        <v>56</v>
      </c>
      <c r="H150" s="19">
        <v>42</v>
      </c>
      <c r="I150" s="19">
        <v>159</v>
      </c>
      <c r="J150" s="19" t="str">
        <f t="shared" si="2"/>
        <v>Jan</v>
      </c>
      <c r="K150" s="19" t="str">
        <f>IF(I150&lt;=Calc!$B$2,"Yes","No")</f>
        <v>No</v>
      </c>
      <c r="L150" s="19">
        <f>IF(AND(OR(Dashboard!$W$6="All",C150=Dashboard!$W$6),OR(Dashboard!$W$7="All",D150=Dashboard!$W$7)),1,0)</f>
        <v>1</v>
      </c>
      <c r="M150" s="19">
        <f>L150*IF(OR(Dashboard!$W$8="All",J150=Dashboard!$W$8),1,0)</f>
        <v>1</v>
      </c>
    </row>
    <row r="151" spans="1:13" x14ac:dyDescent="0.25">
      <c r="A151" s="23">
        <v>46039.999467592599</v>
      </c>
      <c r="B151" s="19" t="s">
        <v>26</v>
      </c>
      <c r="C151" s="19" t="s">
        <v>29</v>
      </c>
      <c r="D151" s="19" t="s">
        <v>73</v>
      </c>
      <c r="E151" s="19" t="s">
        <v>363</v>
      </c>
      <c r="F151" s="19" t="s">
        <v>364</v>
      </c>
      <c r="G151" s="19" t="s">
        <v>100</v>
      </c>
      <c r="H151" s="19">
        <v>12</v>
      </c>
      <c r="I151" s="19">
        <v>116</v>
      </c>
      <c r="J151" s="19" t="str">
        <f t="shared" si="2"/>
        <v>Jan</v>
      </c>
      <c r="K151" s="19" t="str">
        <f>IF(I151&lt;=Calc!$B$2,"Yes","No")</f>
        <v>No</v>
      </c>
      <c r="L151" s="19">
        <f>IF(AND(OR(Dashboard!$W$6="All",C151=Dashboard!$W$6),OR(Dashboard!$W$7="All",D151=Dashboard!$W$7)),1,0)</f>
        <v>1</v>
      </c>
      <c r="M151" s="19">
        <f>L151*IF(OR(Dashboard!$W$8="All",J151=Dashboard!$W$8),1,0)</f>
        <v>1</v>
      </c>
    </row>
    <row r="152" spans="1:13" x14ac:dyDescent="0.25">
      <c r="A152" s="23">
        <v>46040.003738425898</v>
      </c>
      <c r="B152" s="19" t="s">
        <v>28</v>
      </c>
      <c r="C152" s="19" t="s">
        <v>25</v>
      </c>
      <c r="D152" s="19" t="s">
        <v>73</v>
      </c>
      <c r="E152" s="19" t="s">
        <v>365</v>
      </c>
      <c r="F152" s="19" t="s">
        <v>366</v>
      </c>
      <c r="G152" s="19" t="s">
        <v>90</v>
      </c>
      <c r="H152" s="19">
        <v>52</v>
      </c>
      <c r="I152" s="19">
        <v>199</v>
      </c>
      <c r="J152" s="19" t="str">
        <f t="shared" si="2"/>
        <v>Jan</v>
      </c>
      <c r="K152" s="19" t="str">
        <f>IF(I152&lt;=Calc!$B$2,"Yes","No")</f>
        <v>No</v>
      </c>
      <c r="L152" s="19">
        <f>IF(AND(OR(Dashboard!$W$6="All",C152=Dashboard!$W$6),OR(Dashboard!$W$7="All",D152=Dashboard!$W$7)),1,0)</f>
        <v>1</v>
      </c>
      <c r="M152" s="19">
        <f>L152*IF(OR(Dashboard!$W$8="All",J152=Dashboard!$W$8),1,0)</f>
        <v>1</v>
      </c>
    </row>
    <row r="153" spans="1:13" x14ac:dyDescent="0.25">
      <c r="A153" s="23">
        <v>46040.017129629603</v>
      </c>
      <c r="B153" s="19" t="s">
        <v>36</v>
      </c>
      <c r="C153" s="19" t="s">
        <v>27</v>
      </c>
      <c r="D153" s="19" t="s">
        <v>73</v>
      </c>
      <c r="E153" s="19" t="s">
        <v>367</v>
      </c>
      <c r="F153" s="19" t="s">
        <v>368</v>
      </c>
      <c r="G153" s="19" t="s">
        <v>59</v>
      </c>
      <c r="H153" s="19">
        <v>11</v>
      </c>
      <c r="I153" s="19">
        <v>31</v>
      </c>
      <c r="J153" s="19" t="str">
        <f t="shared" si="2"/>
        <v>Jan</v>
      </c>
      <c r="K153" s="19" t="str">
        <f>IF(I153&lt;=Calc!$B$2,"Yes","No")</f>
        <v>Yes</v>
      </c>
      <c r="L153" s="19">
        <f>IF(AND(OR(Dashboard!$W$6="All",C153=Dashboard!$W$6),OR(Dashboard!$W$7="All",D153=Dashboard!$W$7)),1,0)</f>
        <v>1</v>
      </c>
      <c r="M153" s="19">
        <f>L153*IF(OR(Dashboard!$W$8="All",J153=Dashboard!$W$8),1,0)</f>
        <v>1</v>
      </c>
    </row>
    <row r="154" spans="1:13" x14ac:dyDescent="0.25">
      <c r="A154" s="23">
        <v>46040.167928240699</v>
      </c>
      <c r="B154" s="19" t="s">
        <v>30</v>
      </c>
      <c r="C154" s="19" t="s">
        <v>25</v>
      </c>
      <c r="D154" s="19" t="s">
        <v>53</v>
      </c>
      <c r="E154" s="19" t="s">
        <v>369</v>
      </c>
      <c r="F154" s="19" t="s">
        <v>370</v>
      </c>
      <c r="G154" s="19" t="s">
        <v>93</v>
      </c>
      <c r="H154" s="19">
        <v>32</v>
      </c>
      <c r="I154" s="19">
        <v>117</v>
      </c>
      <c r="J154" s="19" t="str">
        <f t="shared" si="2"/>
        <v>Jan</v>
      </c>
      <c r="K154" s="19" t="str">
        <f>IF(I154&lt;=Calc!$B$2,"Yes","No")</f>
        <v>No</v>
      </c>
      <c r="L154" s="19">
        <f>IF(AND(OR(Dashboard!$W$6="All",C154=Dashboard!$W$6),OR(Dashboard!$W$7="All",D154=Dashboard!$W$7)),1,0)</f>
        <v>1</v>
      </c>
      <c r="M154" s="19">
        <f>L154*IF(OR(Dashboard!$W$8="All",J154=Dashboard!$W$8),1,0)</f>
        <v>1</v>
      </c>
    </row>
    <row r="155" spans="1:13" x14ac:dyDescent="0.25">
      <c r="A155" s="23">
        <v>46040.188541666699</v>
      </c>
      <c r="B155" s="19" t="s">
        <v>33</v>
      </c>
      <c r="C155" s="19" t="s">
        <v>25</v>
      </c>
      <c r="D155" s="19" t="s">
        <v>53</v>
      </c>
      <c r="E155" s="19" t="s">
        <v>371</v>
      </c>
      <c r="F155" s="19" t="s">
        <v>372</v>
      </c>
      <c r="G155" s="19" t="s">
        <v>68</v>
      </c>
      <c r="H155" s="19">
        <v>45</v>
      </c>
      <c r="I155" s="19">
        <v>156</v>
      </c>
      <c r="J155" s="19" t="str">
        <f t="shared" si="2"/>
        <v>Jan</v>
      </c>
      <c r="K155" s="19" t="str">
        <f>IF(I155&lt;=Calc!$B$2,"Yes","No")</f>
        <v>No</v>
      </c>
      <c r="L155" s="19">
        <f>IF(AND(OR(Dashboard!$W$6="All",C155=Dashboard!$W$6),OR(Dashboard!$W$7="All",D155=Dashboard!$W$7)),1,0)</f>
        <v>1</v>
      </c>
      <c r="M155" s="19">
        <f>L155*IF(OR(Dashboard!$W$8="All",J155=Dashboard!$W$8),1,0)</f>
        <v>1</v>
      </c>
    </row>
    <row r="156" spans="1:13" x14ac:dyDescent="0.25">
      <c r="A156" s="23">
        <v>46040.328067129602</v>
      </c>
      <c r="B156" s="19" t="s">
        <v>36</v>
      </c>
      <c r="C156" s="19" t="s">
        <v>29</v>
      </c>
      <c r="D156" s="19" t="s">
        <v>53</v>
      </c>
      <c r="E156" s="19" t="s">
        <v>373</v>
      </c>
      <c r="F156" s="19" t="s">
        <v>374</v>
      </c>
      <c r="G156" s="19" t="s">
        <v>59</v>
      </c>
      <c r="H156" s="19">
        <v>24</v>
      </c>
      <c r="I156" s="19">
        <v>121</v>
      </c>
      <c r="J156" s="19" t="str">
        <f t="shared" si="2"/>
        <v>Jan</v>
      </c>
      <c r="K156" s="19" t="str">
        <f>IF(I156&lt;=Calc!$B$2,"Yes","No")</f>
        <v>No</v>
      </c>
      <c r="L156" s="19">
        <f>IF(AND(OR(Dashboard!$W$6="All",C156=Dashboard!$W$6),OR(Dashboard!$W$7="All",D156=Dashboard!$W$7)),1,0)</f>
        <v>1</v>
      </c>
      <c r="M156" s="19">
        <f>L156*IF(OR(Dashboard!$W$8="All",J156=Dashboard!$W$8),1,0)</f>
        <v>1</v>
      </c>
    </row>
    <row r="157" spans="1:13" x14ac:dyDescent="0.25">
      <c r="A157" s="23">
        <v>46040.351944444497</v>
      </c>
      <c r="B157" s="19" t="s">
        <v>36</v>
      </c>
      <c r="C157" s="19" t="s">
        <v>27</v>
      </c>
      <c r="D157" s="19" t="s">
        <v>69</v>
      </c>
      <c r="E157" s="19" t="s">
        <v>375</v>
      </c>
      <c r="F157" s="19" t="s">
        <v>376</v>
      </c>
      <c r="G157" s="19" t="s">
        <v>59</v>
      </c>
      <c r="H157" s="19">
        <v>2</v>
      </c>
      <c r="I157" s="19">
        <v>49</v>
      </c>
      <c r="J157" s="19" t="str">
        <f t="shared" si="2"/>
        <v>Jan</v>
      </c>
      <c r="K157" s="19" t="str">
        <f>IF(I157&lt;=Calc!$B$2,"Yes","No")</f>
        <v>Yes</v>
      </c>
      <c r="L157" s="19">
        <f>IF(AND(OR(Dashboard!$W$6="All",C157=Dashboard!$W$6),OR(Dashboard!$W$7="All",D157=Dashboard!$W$7)),1,0)</f>
        <v>1</v>
      </c>
      <c r="M157" s="19">
        <f>L157*IF(OR(Dashboard!$W$8="All",J157=Dashboard!$W$8),1,0)</f>
        <v>1</v>
      </c>
    </row>
    <row r="158" spans="1:13" x14ac:dyDescent="0.25">
      <c r="A158" s="23">
        <v>46040.514756944503</v>
      </c>
      <c r="B158" s="19" t="s">
        <v>26</v>
      </c>
      <c r="C158" s="19" t="s">
        <v>27</v>
      </c>
      <c r="D158" s="19" t="s">
        <v>69</v>
      </c>
      <c r="E158" s="19" t="s">
        <v>377</v>
      </c>
      <c r="F158" s="19" t="s">
        <v>378</v>
      </c>
      <c r="G158" s="19" t="s">
        <v>100</v>
      </c>
      <c r="H158" s="19">
        <v>19</v>
      </c>
      <c r="I158" s="19">
        <v>66</v>
      </c>
      <c r="J158" s="19" t="str">
        <f t="shared" si="2"/>
        <v>Jan</v>
      </c>
      <c r="K158" s="19" t="str">
        <f>IF(I158&lt;=Calc!$B$2,"Yes","No")</f>
        <v>No</v>
      </c>
      <c r="L158" s="19">
        <f>IF(AND(OR(Dashboard!$W$6="All",C158=Dashboard!$W$6),OR(Dashboard!$W$7="All",D158=Dashboard!$W$7)),1,0)</f>
        <v>1</v>
      </c>
      <c r="M158" s="19">
        <f>L158*IF(OR(Dashboard!$W$8="All",J158=Dashboard!$W$8),1,0)</f>
        <v>1</v>
      </c>
    </row>
    <row r="159" spans="1:13" x14ac:dyDescent="0.25">
      <c r="A159" s="23">
        <v>46040.659189814804</v>
      </c>
      <c r="B159" s="19" t="s">
        <v>32</v>
      </c>
      <c r="C159" s="19" t="s">
        <v>29</v>
      </c>
      <c r="D159" s="19" t="s">
        <v>69</v>
      </c>
      <c r="E159" s="19" t="s">
        <v>379</v>
      </c>
      <c r="F159" s="19" t="s">
        <v>380</v>
      </c>
      <c r="G159" s="19" t="s">
        <v>72</v>
      </c>
      <c r="H159" s="19">
        <v>15</v>
      </c>
      <c r="I159" s="19">
        <v>103</v>
      </c>
      <c r="J159" s="19" t="str">
        <f t="shared" si="2"/>
        <v>Jan</v>
      </c>
      <c r="K159" s="19" t="str">
        <f>IF(I159&lt;=Calc!$B$2,"Yes","No")</f>
        <v>No</v>
      </c>
      <c r="L159" s="19">
        <f>IF(AND(OR(Dashboard!$W$6="All",C159=Dashboard!$W$6),OR(Dashboard!$W$7="All",D159=Dashboard!$W$7)),1,0)</f>
        <v>1</v>
      </c>
      <c r="M159" s="19">
        <f>L159*IF(OR(Dashboard!$W$8="All",J159=Dashboard!$W$8),1,0)</f>
        <v>1</v>
      </c>
    </row>
    <row r="160" spans="1:13" x14ac:dyDescent="0.25">
      <c r="A160" s="23">
        <v>46040.709976851896</v>
      </c>
      <c r="B160" s="19" t="s">
        <v>33</v>
      </c>
      <c r="C160" s="19" t="s">
        <v>27</v>
      </c>
      <c r="D160" s="19" t="s">
        <v>73</v>
      </c>
      <c r="E160" s="19" t="s">
        <v>381</v>
      </c>
      <c r="F160" s="19" t="s">
        <v>382</v>
      </c>
      <c r="G160" s="19" t="s">
        <v>68</v>
      </c>
      <c r="H160" s="19">
        <v>1</v>
      </c>
      <c r="I160" s="19">
        <v>91</v>
      </c>
      <c r="J160" s="19" t="str">
        <f t="shared" si="2"/>
        <v>Jan</v>
      </c>
      <c r="K160" s="19" t="str">
        <f>IF(I160&lt;=Calc!$B$2,"Yes","No")</f>
        <v>No</v>
      </c>
      <c r="L160" s="19">
        <f>IF(AND(OR(Dashboard!$W$6="All",C160=Dashboard!$W$6),OR(Dashboard!$W$7="All",D160=Dashboard!$W$7)),1,0)</f>
        <v>1</v>
      </c>
      <c r="M160" s="19">
        <f>L160*IF(OR(Dashboard!$W$8="All",J160=Dashboard!$W$8),1,0)</f>
        <v>1</v>
      </c>
    </row>
    <row r="161" spans="1:13" x14ac:dyDescent="0.25">
      <c r="A161" s="23">
        <v>46040.771851851903</v>
      </c>
      <c r="B161" s="19" t="s">
        <v>35</v>
      </c>
      <c r="C161" s="19" t="s">
        <v>27</v>
      </c>
      <c r="D161" s="19" t="s">
        <v>73</v>
      </c>
      <c r="E161" s="19" t="s">
        <v>383</v>
      </c>
      <c r="F161" s="19" t="s">
        <v>384</v>
      </c>
      <c r="G161" s="19" t="s">
        <v>64</v>
      </c>
      <c r="H161" s="19">
        <v>21</v>
      </c>
      <c r="I161" s="19">
        <v>98</v>
      </c>
      <c r="J161" s="19" t="str">
        <f t="shared" si="2"/>
        <v>Jan</v>
      </c>
      <c r="K161" s="19" t="str">
        <f>IF(I161&lt;=Calc!$B$2,"Yes","No")</f>
        <v>No</v>
      </c>
      <c r="L161" s="19">
        <f>IF(AND(OR(Dashboard!$W$6="All",C161=Dashboard!$W$6),OR(Dashboard!$W$7="All",D161=Dashboard!$W$7)),1,0)</f>
        <v>1</v>
      </c>
      <c r="M161" s="19">
        <f>L161*IF(OR(Dashboard!$W$8="All",J161=Dashboard!$W$8),1,0)</f>
        <v>1</v>
      </c>
    </row>
    <row r="162" spans="1:13" x14ac:dyDescent="0.25">
      <c r="A162" s="23">
        <v>46041.1705671296</v>
      </c>
      <c r="B162" s="19" t="s">
        <v>32</v>
      </c>
      <c r="C162" s="19" t="s">
        <v>29</v>
      </c>
      <c r="D162" s="19" t="s">
        <v>69</v>
      </c>
      <c r="E162" s="19" t="s">
        <v>385</v>
      </c>
      <c r="F162" s="19" t="s">
        <v>386</v>
      </c>
      <c r="G162" s="19" t="s">
        <v>72</v>
      </c>
      <c r="H162" s="19">
        <v>33</v>
      </c>
      <c r="I162" s="19">
        <v>171</v>
      </c>
      <c r="J162" s="19" t="str">
        <f t="shared" si="2"/>
        <v>Jan</v>
      </c>
      <c r="K162" s="19" t="str">
        <f>IF(I162&lt;=Calc!$B$2,"Yes","No")</f>
        <v>No</v>
      </c>
      <c r="L162" s="19">
        <f>IF(AND(OR(Dashboard!$W$6="All",C162=Dashboard!$W$6),OR(Dashboard!$W$7="All",D162=Dashboard!$W$7)),1,0)</f>
        <v>1</v>
      </c>
      <c r="M162" s="19">
        <f>L162*IF(OR(Dashboard!$W$8="All",J162=Dashboard!$W$8),1,0)</f>
        <v>1</v>
      </c>
    </row>
    <row r="163" spans="1:13" x14ac:dyDescent="0.25">
      <c r="A163" s="23">
        <v>46041.208657407398</v>
      </c>
      <c r="B163" s="19" t="s">
        <v>30</v>
      </c>
      <c r="C163" s="19" t="s">
        <v>25</v>
      </c>
      <c r="D163" s="19" t="s">
        <v>69</v>
      </c>
      <c r="E163" s="19" t="s">
        <v>387</v>
      </c>
      <c r="F163" s="19" t="s">
        <v>388</v>
      </c>
      <c r="G163" s="19" t="s">
        <v>93</v>
      </c>
      <c r="H163" s="19">
        <v>40</v>
      </c>
      <c r="I163" s="19">
        <v>185</v>
      </c>
      <c r="J163" s="19" t="str">
        <f t="shared" si="2"/>
        <v>Jan</v>
      </c>
      <c r="K163" s="19" t="str">
        <f>IF(I163&lt;=Calc!$B$2,"Yes","No")</f>
        <v>No</v>
      </c>
      <c r="L163" s="19">
        <f>IF(AND(OR(Dashboard!$W$6="All",C163=Dashboard!$W$6),OR(Dashboard!$W$7="All",D163=Dashboard!$W$7)),1,0)</f>
        <v>1</v>
      </c>
      <c r="M163" s="19">
        <f>L163*IF(OR(Dashboard!$W$8="All",J163=Dashboard!$W$8),1,0)</f>
        <v>1</v>
      </c>
    </row>
    <row r="164" spans="1:13" x14ac:dyDescent="0.25">
      <c r="A164" s="23">
        <v>46041.786840277797</v>
      </c>
      <c r="B164" s="19" t="s">
        <v>26</v>
      </c>
      <c r="C164" s="19" t="s">
        <v>25</v>
      </c>
      <c r="D164" s="19" t="s">
        <v>53</v>
      </c>
      <c r="E164" s="19" t="s">
        <v>389</v>
      </c>
      <c r="F164" s="19" t="s">
        <v>390</v>
      </c>
      <c r="G164" s="19" t="s">
        <v>100</v>
      </c>
      <c r="H164" s="19">
        <v>41</v>
      </c>
      <c r="I164" s="19">
        <v>185</v>
      </c>
      <c r="J164" s="19" t="str">
        <f t="shared" si="2"/>
        <v>Jan</v>
      </c>
      <c r="K164" s="19" t="str">
        <f>IF(I164&lt;=Calc!$B$2,"Yes","No")</f>
        <v>No</v>
      </c>
      <c r="L164" s="19">
        <f>IF(AND(OR(Dashboard!$W$6="All",C164=Dashboard!$W$6),OR(Dashboard!$W$7="All",D164=Dashboard!$W$7)),1,0)</f>
        <v>1</v>
      </c>
      <c r="M164" s="19">
        <f>L164*IF(OR(Dashboard!$W$8="All",J164=Dashboard!$W$8),1,0)</f>
        <v>1</v>
      </c>
    </row>
    <row r="165" spans="1:13" x14ac:dyDescent="0.25">
      <c r="A165" s="23">
        <v>46042.153182870403</v>
      </c>
      <c r="B165" s="19" t="s">
        <v>26</v>
      </c>
      <c r="C165" s="19" t="s">
        <v>25</v>
      </c>
      <c r="D165" s="19" t="s">
        <v>53</v>
      </c>
      <c r="E165" s="19" t="s">
        <v>391</v>
      </c>
      <c r="F165" s="19" t="s">
        <v>392</v>
      </c>
      <c r="G165" s="19" t="s">
        <v>100</v>
      </c>
      <c r="H165" s="19">
        <v>30</v>
      </c>
      <c r="I165" s="19">
        <v>166</v>
      </c>
      <c r="J165" s="19" t="str">
        <f t="shared" si="2"/>
        <v>Jan</v>
      </c>
      <c r="K165" s="19" t="str">
        <f>IF(I165&lt;=Calc!$B$2,"Yes","No")</f>
        <v>No</v>
      </c>
      <c r="L165" s="19">
        <f>IF(AND(OR(Dashboard!$W$6="All",C165=Dashboard!$W$6),OR(Dashboard!$W$7="All",D165=Dashboard!$W$7)),1,0)</f>
        <v>1</v>
      </c>
      <c r="M165" s="19">
        <f>L165*IF(OR(Dashboard!$W$8="All",J165=Dashboard!$W$8),1,0)</f>
        <v>1</v>
      </c>
    </row>
    <row r="166" spans="1:13" x14ac:dyDescent="0.25">
      <c r="A166" s="23">
        <v>46042.331631944398</v>
      </c>
      <c r="B166" s="19" t="s">
        <v>34</v>
      </c>
      <c r="C166" s="19" t="s">
        <v>25</v>
      </c>
      <c r="D166" s="19" t="s">
        <v>69</v>
      </c>
      <c r="E166" s="19" t="s">
        <v>393</v>
      </c>
      <c r="F166" s="19" t="s">
        <v>394</v>
      </c>
      <c r="G166" s="19" t="s">
        <v>56</v>
      </c>
      <c r="H166" s="19">
        <v>38</v>
      </c>
      <c r="I166" s="19">
        <v>166</v>
      </c>
      <c r="J166" s="19" t="str">
        <f t="shared" si="2"/>
        <v>Jan</v>
      </c>
      <c r="K166" s="19" t="str">
        <f>IF(I166&lt;=Calc!$B$2,"Yes","No")</f>
        <v>No</v>
      </c>
      <c r="L166" s="19">
        <f>IF(AND(OR(Dashboard!$W$6="All",C166=Dashboard!$W$6),OR(Dashboard!$W$7="All",D166=Dashboard!$W$7)),1,0)</f>
        <v>1</v>
      </c>
      <c r="M166" s="19">
        <f>L166*IF(OR(Dashboard!$W$8="All",J166=Dashboard!$W$8),1,0)</f>
        <v>1</v>
      </c>
    </row>
    <row r="167" spans="1:13" x14ac:dyDescent="0.25">
      <c r="A167" s="23">
        <v>46042.333587963003</v>
      </c>
      <c r="B167" s="19" t="s">
        <v>26</v>
      </c>
      <c r="C167" s="19" t="s">
        <v>29</v>
      </c>
      <c r="D167" s="19" t="s">
        <v>53</v>
      </c>
      <c r="E167" s="19" t="s">
        <v>395</v>
      </c>
      <c r="F167" s="19" t="s">
        <v>396</v>
      </c>
      <c r="G167" s="19" t="s">
        <v>100</v>
      </c>
      <c r="H167" s="19">
        <v>26</v>
      </c>
      <c r="I167" s="19">
        <v>127</v>
      </c>
      <c r="J167" s="19" t="str">
        <f t="shared" si="2"/>
        <v>Jan</v>
      </c>
      <c r="K167" s="19" t="str">
        <f>IF(I167&lt;=Calc!$B$2,"Yes","No")</f>
        <v>No</v>
      </c>
      <c r="L167" s="19">
        <f>IF(AND(OR(Dashboard!$W$6="All",C167=Dashboard!$W$6),OR(Dashboard!$W$7="All",D167=Dashboard!$W$7)),1,0)</f>
        <v>1</v>
      </c>
      <c r="M167" s="19">
        <f>L167*IF(OR(Dashboard!$W$8="All",J167=Dashboard!$W$8),1,0)</f>
        <v>1</v>
      </c>
    </row>
    <row r="168" spans="1:13" x14ac:dyDescent="0.25">
      <c r="A168" s="23">
        <v>46042.338437500002</v>
      </c>
      <c r="B168" s="19" t="s">
        <v>36</v>
      </c>
      <c r="C168" s="19" t="s">
        <v>27</v>
      </c>
      <c r="D168" s="19" t="s">
        <v>69</v>
      </c>
      <c r="E168" s="19" t="s">
        <v>397</v>
      </c>
      <c r="F168" s="19" t="s">
        <v>398</v>
      </c>
      <c r="G168" s="19" t="s">
        <v>59</v>
      </c>
      <c r="H168" s="19">
        <v>15</v>
      </c>
      <c r="I168" s="19">
        <v>171</v>
      </c>
      <c r="J168" s="19" t="str">
        <f t="shared" si="2"/>
        <v>Jan</v>
      </c>
      <c r="K168" s="19" t="str">
        <f>IF(I168&lt;=Calc!$B$2,"Yes","No")</f>
        <v>No</v>
      </c>
      <c r="L168" s="19">
        <f>IF(AND(OR(Dashboard!$W$6="All",C168=Dashboard!$W$6),OR(Dashboard!$W$7="All",D168=Dashboard!$W$7)),1,0)</f>
        <v>1</v>
      </c>
      <c r="M168" s="19">
        <f>L168*IF(OR(Dashboard!$W$8="All",J168=Dashboard!$W$8),1,0)</f>
        <v>1</v>
      </c>
    </row>
    <row r="169" spans="1:13" x14ac:dyDescent="0.25">
      <c r="A169" s="23">
        <v>46042.4353819444</v>
      </c>
      <c r="B169" s="19" t="s">
        <v>32</v>
      </c>
      <c r="C169" s="19" t="s">
        <v>25</v>
      </c>
      <c r="D169" s="19" t="s">
        <v>73</v>
      </c>
      <c r="E169" s="19" t="s">
        <v>399</v>
      </c>
      <c r="F169" s="19" t="s">
        <v>400</v>
      </c>
      <c r="G169" s="19" t="s">
        <v>72</v>
      </c>
      <c r="H169" s="19">
        <v>17</v>
      </c>
      <c r="I169" s="19">
        <v>34</v>
      </c>
      <c r="J169" s="19" t="str">
        <f t="shared" si="2"/>
        <v>Jan</v>
      </c>
      <c r="K169" s="19" t="str">
        <f>IF(I169&lt;=Calc!$B$2,"Yes","No")</f>
        <v>Yes</v>
      </c>
      <c r="L169" s="19">
        <f>IF(AND(OR(Dashboard!$W$6="All",C169=Dashboard!$W$6),OR(Dashboard!$W$7="All",D169=Dashboard!$W$7)),1,0)</f>
        <v>1</v>
      </c>
      <c r="M169" s="19">
        <f>L169*IF(OR(Dashboard!$W$8="All",J169=Dashboard!$W$8),1,0)</f>
        <v>1</v>
      </c>
    </row>
    <row r="170" spans="1:13" x14ac:dyDescent="0.25">
      <c r="A170" s="23">
        <v>46042.448206018496</v>
      </c>
      <c r="B170" s="19" t="s">
        <v>33</v>
      </c>
      <c r="C170" s="19" t="s">
        <v>27</v>
      </c>
      <c r="D170" s="19" t="s">
        <v>73</v>
      </c>
      <c r="E170" s="19" t="s">
        <v>401</v>
      </c>
      <c r="F170" s="19" t="s">
        <v>402</v>
      </c>
      <c r="G170" s="19" t="s">
        <v>68</v>
      </c>
      <c r="H170" s="19">
        <v>10</v>
      </c>
      <c r="I170" s="19">
        <v>43</v>
      </c>
      <c r="J170" s="19" t="str">
        <f t="shared" si="2"/>
        <v>Jan</v>
      </c>
      <c r="K170" s="19" t="str">
        <f>IF(I170&lt;=Calc!$B$2,"Yes","No")</f>
        <v>Yes</v>
      </c>
      <c r="L170" s="19">
        <f>IF(AND(OR(Dashboard!$W$6="All",C170=Dashboard!$W$6),OR(Dashboard!$W$7="All",D170=Dashboard!$W$7)),1,0)</f>
        <v>1</v>
      </c>
      <c r="M170" s="19">
        <f>L170*IF(OR(Dashboard!$W$8="All",J170=Dashboard!$W$8),1,0)</f>
        <v>1</v>
      </c>
    </row>
    <row r="171" spans="1:13" x14ac:dyDescent="0.25">
      <c r="A171" s="23">
        <v>46042.500740740703</v>
      </c>
      <c r="B171" s="19" t="s">
        <v>32</v>
      </c>
      <c r="C171" s="19" t="s">
        <v>25</v>
      </c>
      <c r="D171" s="19" t="s">
        <v>53</v>
      </c>
      <c r="E171" s="19" t="s">
        <v>403</v>
      </c>
      <c r="F171" s="19" t="s">
        <v>404</v>
      </c>
      <c r="G171" s="19" t="s">
        <v>72</v>
      </c>
      <c r="H171" s="19">
        <v>25</v>
      </c>
      <c r="I171" s="19">
        <v>183</v>
      </c>
      <c r="J171" s="19" t="str">
        <f t="shared" si="2"/>
        <v>Jan</v>
      </c>
      <c r="K171" s="19" t="str">
        <f>IF(I171&lt;=Calc!$B$2,"Yes","No")</f>
        <v>No</v>
      </c>
      <c r="L171" s="19">
        <f>IF(AND(OR(Dashboard!$W$6="All",C171=Dashboard!$W$6),OR(Dashboard!$W$7="All",D171=Dashboard!$W$7)),1,0)</f>
        <v>1</v>
      </c>
      <c r="M171" s="19">
        <f>L171*IF(OR(Dashboard!$W$8="All",J171=Dashboard!$W$8),1,0)</f>
        <v>1</v>
      </c>
    </row>
    <row r="172" spans="1:13" x14ac:dyDescent="0.25">
      <c r="A172" s="23">
        <v>46042.529826388898</v>
      </c>
      <c r="B172" s="19" t="s">
        <v>30</v>
      </c>
      <c r="C172" s="19" t="s">
        <v>25</v>
      </c>
      <c r="D172" s="19" t="s">
        <v>69</v>
      </c>
      <c r="E172" s="19" t="s">
        <v>405</v>
      </c>
      <c r="F172" s="19" t="s">
        <v>406</v>
      </c>
      <c r="G172" s="19" t="s">
        <v>93</v>
      </c>
      <c r="H172" s="19">
        <v>52</v>
      </c>
      <c r="I172" s="19">
        <v>156</v>
      </c>
      <c r="J172" s="19" t="str">
        <f t="shared" si="2"/>
        <v>Jan</v>
      </c>
      <c r="K172" s="19" t="str">
        <f>IF(I172&lt;=Calc!$B$2,"Yes","No")</f>
        <v>No</v>
      </c>
      <c r="L172" s="19">
        <f>IF(AND(OR(Dashboard!$W$6="All",C172=Dashboard!$W$6),OR(Dashboard!$W$7="All",D172=Dashboard!$W$7)),1,0)</f>
        <v>1</v>
      </c>
      <c r="M172" s="19">
        <f>L172*IF(OR(Dashboard!$W$8="All",J172=Dashboard!$W$8),1,0)</f>
        <v>1</v>
      </c>
    </row>
    <row r="173" spans="1:13" x14ac:dyDescent="0.25">
      <c r="A173" s="23">
        <v>46042.721712963001</v>
      </c>
      <c r="B173" s="19" t="s">
        <v>32</v>
      </c>
      <c r="C173" s="19" t="s">
        <v>25</v>
      </c>
      <c r="D173" s="19" t="s">
        <v>69</v>
      </c>
      <c r="E173" s="19" t="s">
        <v>407</v>
      </c>
      <c r="F173" s="19" t="s">
        <v>408</v>
      </c>
      <c r="G173" s="19" t="s">
        <v>72</v>
      </c>
      <c r="H173" s="19">
        <v>30</v>
      </c>
      <c r="I173" s="19">
        <v>123</v>
      </c>
      <c r="J173" s="19" t="str">
        <f t="shared" si="2"/>
        <v>Jan</v>
      </c>
      <c r="K173" s="19" t="str">
        <f>IF(I173&lt;=Calc!$B$2,"Yes","No")</f>
        <v>No</v>
      </c>
      <c r="L173" s="19">
        <f>IF(AND(OR(Dashboard!$W$6="All",C173=Dashboard!$W$6),OR(Dashboard!$W$7="All",D173=Dashboard!$W$7)),1,0)</f>
        <v>1</v>
      </c>
      <c r="M173" s="19">
        <f>L173*IF(OR(Dashboard!$W$8="All",J173=Dashboard!$W$8),1,0)</f>
        <v>1</v>
      </c>
    </row>
    <row r="174" spans="1:13" x14ac:dyDescent="0.25">
      <c r="A174" s="23">
        <v>46042.956967592603</v>
      </c>
      <c r="B174" s="19" t="s">
        <v>30</v>
      </c>
      <c r="C174" s="19" t="s">
        <v>27</v>
      </c>
      <c r="D174" s="19" t="s">
        <v>69</v>
      </c>
      <c r="E174" s="19" t="s">
        <v>409</v>
      </c>
      <c r="F174" s="19" t="s">
        <v>410</v>
      </c>
      <c r="G174" s="19" t="s">
        <v>93</v>
      </c>
      <c r="H174" s="19">
        <v>17</v>
      </c>
      <c r="I174" s="19">
        <v>88</v>
      </c>
      <c r="J174" s="19" t="str">
        <f t="shared" si="2"/>
        <v>Jan</v>
      </c>
      <c r="K174" s="19" t="str">
        <f>IF(I174&lt;=Calc!$B$2,"Yes","No")</f>
        <v>No</v>
      </c>
      <c r="L174" s="19">
        <f>IF(AND(OR(Dashboard!$W$6="All",C174=Dashboard!$W$6),OR(Dashboard!$W$7="All",D174=Dashboard!$W$7)),1,0)</f>
        <v>1</v>
      </c>
      <c r="M174" s="19">
        <f>L174*IF(OR(Dashboard!$W$8="All",J174=Dashboard!$W$8),1,0)</f>
        <v>1</v>
      </c>
    </row>
    <row r="175" spans="1:13" x14ac:dyDescent="0.25">
      <c r="A175" s="23">
        <v>46043.159467592603</v>
      </c>
      <c r="B175" s="19" t="s">
        <v>30</v>
      </c>
      <c r="C175" s="19" t="s">
        <v>25</v>
      </c>
      <c r="D175" s="19" t="s">
        <v>73</v>
      </c>
      <c r="E175" s="19" t="s">
        <v>411</v>
      </c>
      <c r="F175" s="19" t="s">
        <v>412</v>
      </c>
      <c r="G175" s="19" t="s">
        <v>93</v>
      </c>
      <c r="H175" s="19">
        <v>19</v>
      </c>
      <c r="I175" s="19">
        <v>159</v>
      </c>
      <c r="J175" s="19" t="str">
        <f t="shared" si="2"/>
        <v>Jan</v>
      </c>
      <c r="K175" s="19" t="str">
        <f>IF(I175&lt;=Calc!$B$2,"Yes","No")</f>
        <v>No</v>
      </c>
      <c r="L175" s="19">
        <f>IF(AND(OR(Dashboard!$W$6="All",C175=Dashboard!$W$6),OR(Dashboard!$W$7="All",D175=Dashboard!$W$7)),1,0)</f>
        <v>1</v>
      </c>
      <c r="M175" s="19">
        <f>L175*IF(OR(Dashboard!$W$8="All",J175=Dashboard!$W$8),1,0)</f>
        <v>1</v>
      </c>
    </row>
    <row r="176" spans="1:13" x14ac:dyDescent="0.25">
      <c r="A176" s="23">
        <v>46043.354837963001</v>
      </c>
      <c r="B176" s="19" t="s">
        <v>30</v>
      </c>
      <c r="C176" s="19" t="s">
        <v>27</v>
      </c>
      <c r="D176" s="19" t="s">
        <v>65</v>
      </c>
      <c r="E176" s="19" t="s">
        <v>413</v>
      </c>
      <c r="F176" s="19" t="s">
        <v>414</v>
      </c>
      <c r="G176" s="19" t="s">
        <v>93</v>
      </c>
      <c r="H176" s="19">
        <v>25</v>
      </c>
      <c r="I176" s="19">
        <v>75</v>
      </c>
      <c r="J176" s="19" t="str">
        <f t="shared" si="2"/>
        <v>Jan</v>
      </c>
      <c r="K176" s="19" t="str">
        <f>IF(I176&lt;=Calc!$B$2,"Yes","No")</f>
        <v>No</v>
      </c>
      <c r="L176" s="19">
        <f>IF(AND(OR(Dashboard!$W$6="All",C176=Dashboard!$W$6),OR(Dashboard!$W$7="All",D176=Dashboard!$W$7)),1,0)</f>
        <v>1</v>
      </c>
      <c r="M176" s="19">
        <f>L176*IF(OR(Dashboard!$W$8="All",J176=Dashboard!$W$8),1,0)</f>
        <v>1</v>
      </c>
    </row>
    <row r="177" spans="1:13" x14ac:dyDescent="0.25">
      <c r="A177" s="23">
        <v>46043.457314814797</v>
      </c>
      <c r="B177" s="19" t="s">
        <v>36</v>
      </c>
      <c r="C177" s="19" t="s">
        <v>27</v>
      </c>
      <c r="D177" s="19" t="s">
        <v>65</v>
      </c>
      <c r="E177" s="19" t="s">
        <v>415</v>
      </c>
      <c r="F177" s="19" t="s">
        <v>416</v>
      </c>
      <c r="G177" s="19" t="s">
        <v>59</v>
      </c>
      <c r="H177" s="19">
        <v>3</v>
      </c>
      <c r="I177" s="19">
        <v>66</v>
      </c>
      <c r="J177" s="19" t="str">
        <f t="shared" si="2"/>
        <v>Jan</v>
      </c>
      <c r="K177" s="19" t="str">
        <f>IF(I177&lt;=Calc!$B$2,"Yes","No")</f>
        <v>No</v>
      </c>
      <c r="L177" s="19">
        <f>IF(AND(OR(Dashboard!$W$6="All",C177=Dashboard!$W$6),OR(Dashboard!$W$7="All",D177=Dashboard!$W$7)),1,0)</f>
        <v>1</v>
      </c>
      <c r="M177" s="19">
        <f>L177*IF(OR(Dashboard!$W$8="All",J177=Dashboard!$W$8),1,0)</f>
        <v>1</v>
      </c>
    </row>
    <row r="178" spans="1:13" x14ac:dyDescent="0.25">
      <c r="A178" s="23">
        <v>46043.572488425903</v>
      </c>
      <c r="B178" s="19" t="s">
        <v>35</v>
      </c>
      <c r="C178" s="19" t="s">
        <v>31</v>
      </c>
      <c r="D178" s="19" t="s">
        <v>69</v>
      </c>
      <c r="E178" s="19" t="s">
        <v>417</v>
      </c>
      <c r="F178" s="19" t="s">
        <v>418</v>
      </c>
      <c r="G178" s="19" t="s">
        <v>64</v>
      </c>
      <c r="H178" s="19">
        <v>28</v>
      </c>
      <c r="I178" s="19">
        <v>164</v>
      </c>
      <c r="J178" s="19" t="str">
        <f t="shared" si="2"/>
        <v>Jan</v>
      </c>
      <c r="K178" s="19" t="str">
        <f>IF(I178&lt;=Calc!$B$2,"Yes","No")</f>
        <v>No</v>
      </c>
      <c r="L178" s="19">
        <f>IF(AND(OR(Dashboard!$W$6="All",C178=Dashboard!$W$6),OR(Dashboard!$W$7="All",D178=Dashboard!$W$7)),1,0)</f>
        <v>1</v>
      </c>
      <c r="M178" s="19">
        <f>L178*IF(OR(Dashboard!$W$8="All",J178=Dashboard!$W$8),1,0)</f>
        <v>1</v>
      </c>
    </row>
    <row r="179" spans="1:13" x14ac:dyDescent="0.25">
      <c r="A179" s="23">
        <v>46043.594791666699</v>
      </c>
      <c r="B179" s="19" t="s">
        <v>36</v>
      </c>
      <c r="C179" s="19" t="s">
        <v>25</v>
      </c>
      <c r="D179" s="19" t="s">
        <v>69</v>
      </c>
      <c r="E179" s="19" t="s">
        <v>419</v>
      </c>
      <c r="F179" s="19" t="s">
        <v>420</v>
      </c>
      <c r="G179" s="19" t="s">
        <v>59</v>
      </c>
      <c r="H179" s="19">
        <v>33</v>
      </c>
      <c r="I179" s="19">
        <v>137</v>
      </c>
      <c r="J179" s="19" t="str">
        <f t="shared" si="2"/>
        <v>Jan</v>
      </c>
      <c r="K179" s="19" t="str">
        <f>IF(I179&lt;=Calc!$B$2,"Yes","No")</f>
        <v>No</v>
      </c>
      <c r="L179" s="19">
        <f>IF(AND(OR(Dashboard!$W$6="All",C179=Dashboard!$W$6),OR(Dashboard!$W$7="All",D179=Dashboard!$W$7)),1,0)</f>
        <v>1</v>
      </c>
      <c r="M179" s="19">
        <f>L179*IF(OR(Dashboard!$W$8="All",J179=Dashboard!$W$8),1,0)</f>
        <v>1</v>
      </c>
    </row>
    <row r="180" spans="1:13" x14ac:dyDescent="0.25">
      <c r="A180" s="23">
        <v>46043.6972453704</v>
      </c>
      <c r="B180" s="19" t="s">
        <v>35</v>
      </c>
      <c r="C180" s="19" t="s">
        <v>29</v>
      </c>
      <c r="D180" s="19" t="s">
        <v>65</v>
      </c>
      <c r="E180" s="19" t="s">
        <v>421</v>
      </c>
      <c r="F180" s="19" t="s">
        <v>422</v>
      </c>
      <c r="G180" s="19" t="s">
        <v>64</v>
      </c>
      <c r="H180" s="19">
        <v>25</v>
      </c>
      <c r="I180" s="19">
        <v>130</v>
      </c>
      <c r="J180" s="19" t="str">
        <f t="shared" si="2"/>
        <v>Jan</v>
      </c>
      <c r="K180" s="19" t="str">
        <f>IF(I180&lt;=Calc!$B$2,"Yes","No")</f>
        <v>No</v>
      </c>
      <c r="L180" s="19">
        <f>IF(AND(OR(Dashboard!$W$6="All",C180=Dashboard!$W$6),OR(Dashboard!$W$7="All",D180=Dashboard!$W$7)),1,0)</f>
        <v>1</v>
      </c>
      <c r="M180" s="19">
        <f>L180*IF(OR(Dashboard!$W$8="All",J180=Dashboard!$W$8),1,0)</f>
        <v>1</v>
      </c>
    </row>
    <row r="181" spans="1:13" x14ac:dyDescent="0.25">
      <c r="A181" s="23">
        <v>46043.748344907399</v>
      </c>
      <c r="B181" s="19" t="s">
        <v>36</v>
      </c>
      <c r="C181" s="19" t="s">
        <v>27</v>
      </c>
      <c r="D181" s="19" t="s">
        <v>73</v>
      </c>
      <c r="E181" s="19" t="s">
        <v>423</v>
      </c>
      <c r="F181" s="19" t="s">
        <v>424</v>
      </c>
      <c r="G181" s="19" t="s">
        <v>59</v>
      </c>
      <c r="H181" s="19">
        <v>4</v>
      </c>
      <c r="I181" s="19">
        <v>71</v>
      </c>
      <c r="J181" s="19" t="str">
        <f t="shared" si="2"/>
        <v>Jan</v>
      </c>
      <c r="K181" s="19" t="str">
        <f>IF(I181&lt;=Calc!$B$2,"Yes","No")</f>
        <v>No</v>
      </c>
      <c r="L181" s="19">
        <f>IF(AND(OR(Dashboard!$W$6="All",C181=Dashboard!$W$6),OR(Dashboard!$W$7="All",D181=Dashboard!$W$7)),1,0)</f>
        <v>1</v>
      </c>
      <c r="M181" s="19">
        <f>L181*IF(OR(Dashboard!$W$8="All",J181=Dashboard!$W$8),1,0)</f>
        <v>1</v>
      </c>
    </row>
    <row r="182" spans="1:13" x14ac:dyDescent="0.25">
      <c r="A182" s="23">
        <v>46043.808263888903</v>
      </c>
      <c r="B182" s="19" t="s">
        <v>35</v>
      </c>
      <c r="C182" s="19" t="s">
        <v>25</v>
      </c>
      <c r="D182" s="19" t="s">
        <v>69</v>
      </c>
      <c r="E182" s="19" t="s">
        <v>425</v>
      </c>
      <c r="F182" s="19" t="s">
        <v>426</v>
      </c>
      <c r="G182" s="19" t="s">
        <v>64</v>
      </c>
      <c r="H182" s="19">
        <v>48</v>
      </c>
      <c r="I182" s="19">
        <v>186</v>
      </c>
      <c r="J182" s="19" t="str">
        <f t="shared" si="2"/>
        <v>Jan</v>
      </c>
      <c r="K182" s="19" t="str">
        <f>IF(I182&lt;=Calc!$B$2,"Yes","No")</f>
        <v>No</v>
      </c>
      <c r="L182" s="19">
        <f>IF(AND(OR(Dashboard!$W$6="All",C182=Dashboard!$W$6),OR(Dashboard!$W$7="All",D182=Dashboard!$W$7)),1,0)</f>
        <v>1</v>
      </c>
      <c r="M182" s="19">
        <f>L182*IF(OR(Dashboard!$W$8="All",J182=Dashboard!$W$8),1,0)</f>
        <v>1</v>
      </c>
    </row>
    <row r="183" spans="1:13" x14ac:dyDescent="0.25">
      <c r="A183" s="23">
        <v>46043.9379976852</v>
      </c>
      <c r="B183" s="19" t="s">
        <v>32</v>
      </c>
      <c r="C183" s="19" t="s">
        <v>25</v>
      </c>
      <c r="D183" s="19" t="s">
        <v>65</v>
      </c>
      <c r="E183" s="19" t="s">
        <v>427</v>
      </c>
      <c r="F183" s="19" t="s">
        <v>428</v>
      </c>
      <c r="G183" s="19" t="s">
        <v>72</v>
      </c>
      <c r="H183" s="19">
        <v>31</v>
      </c>
      <c r="I183" s="19">
        <v>147</v>
      </c>
      <c r="J183" s="19" t="str">
        <f t="shared" si="2"/>
        <v>Jan</v>
      </c>
      <c r="K183" s="19" t="str">
        <f>IF(I183&lt;=Calc!$B$2,"Yes","No")</f>
        <v>No</v>
      </c>
      <c r="L183" s="19">
        <f>IF(AND(OR(Dashboard!$W$6="All",C183=Dashboard!$W$6),OR(Dashboard!$W$7="All",D183=Dashboard!$W$7)),1,0)</f>
        <v>1</v>
      </c>
      <c r="M183" s="19">
        <f>L183*IF(OR(Dashboard!$W$8="All",J183=Dashboard!$W$8),1,0)</f>
        <v>1</v>
      </c>
    </row>
    <row r="184" spans="1:13" x14ac:dyDescent="0.25">
      <c r="A184" s="23">
        <v>46043.961805555598</v>
      </c>
      <c r="B184" s="19" t="s">
        <v>33</v>
      </c>
      <c r="C184" s="19" t="s">
        <v>25</v>
      </c>
      <c r="D184" s="19" t="s">
        <v>65</v>
      </c>
      <c r="E184" s="19" t="s">
        <v>429</v>
      </c>
      <c r="F184" s="19" t="s">
        <v>430</v>
      </c>
      <c r="G184" s="19" t="s">
        <v>68</v>
      </c>
      <c r="H184" s="19">
        <v>32</v>
      </c>
      <c r="I184" s="19">
        <v>141</v>
      </c>
      <c r="J184" s="19" t="str">
        <f t="shared" si="2"/>
        <v>Jan</v>
      </c>
      <c r="K184" s="19" t="str">
        <f>IF(I184&lt;=Calc!$B$2,"Yes","No")</f>
        <v>No</v>
      </c>
      <c r="L184" s="19">
        <f>IF(AND(OR(Dashboard!$W$6="All",C184=Dashboard!$W$6),OR(Dashboard!$W$7="All",D184=Dashboard!$W$7)),1,0)</f>
        <v>1</v>
      </c>
      <c r="M184" s="19">
        <f>L184*IF(OR(Dashboard!$W$8="All",J184=Dashboard!$W$8),1,0)</f>
        <v>1</v>
      </c>
    </row>
    <row r="185" spans="1:13" x14ac:dyDescent="0.25">
      <c r="A185" s="23">
        <v>46044.145138888904</v>
      </c>
      <c r="B185" s="19" t="s">
        <v>32</v>
      </c>
      <c r="C185" s="19" t="s">
        <v>27</v>
      </c>
      <c r="D185" s="19" t="s">
        <v>53</v>
      </c>
      <c r="E185" s="19" t="s">
        <v>431</v>
      </c>
      <c r="F185" s="19" t="s">
        <v>432</v>
      </c>
      <c r="G185" s="19" t="s">
        <v>72</v>
      </c>
      <c r="H185" s="19">
        <v>12</v>
      </c>
      <c r="I185" s="19">
        <v>79</v>
      </c>
      <c r="J185" s="19" t="str">
        <f t="shared" si="2"/>
        <v>Jan</v>
      </c>
      <c r="K185" s="19" t="str">
        <f>IF(I185&lt;=Calc!$B$2,"Yes","No")</f>
        <v>No</v>
      </c>
      <c r="L185" s="19">
        <f>IF(AND(OR(Dashboard!$W$6="All",C185=Dashboard!$W$6),OR(Dashboard!$W$7="All",D185=Dashboard!$W$7)),1,0)</f>
        <v>1</v>
      </c>
      <c r="M185" s="19">
        <f>L185*IF(OR(Dashboard!$W$8="All",J185=Dashboard!$W$8),1,0)</f>
        <v>1</v>
      </c>
    </row>
    <row r="186" spans="1:13" x14ac:dyDescent="0.25">
      <c r="A186" s="23">
        <v>46044.162256944401</v>
      </c>
      <c r="B186" s="19" t="s">
        <v>30</v>
      </c>
      <c r="C186" s="19" t="s">
        <v>25</v>
      </c>
      <c r="D186" s="19" t="s">
        <v>69</v>
      </c>
      <c r="E186" s="19" t="s">
        <v>433</v>
      </c>
      <c r="F186" s="19" t="s">
        <v>434</v>
      </c>
      <c r="G186" s="19" t="s">
        <v>93</v>
      </c>
      <c r="H186" s="19">
        <v>23</v>
      </c>
      <c r="I186" s="19">
        <v>109</v>
      </c>
      <c r="J186" s="19" t="str">
        <f t="shared" si="2"/>
        <v>Jan</v>
      </c>
      <c r="K186" s="19" t="str">
        <f>IF(I186&lt;=Calc!$B$2,"Yes","No")</f>
        <v>No</v>
      </c>
      <c r="L186" s="19">
        <f>IF(AND(OR(Dashboard!$W$6="All",C186=Dashboard!$W$6),OR(Dashboard!$W$7="All",D186=Dashboard!$W$7)),1,0)</f>
        <v>1</v>
      </c>
      <c r="M186" s="19">
        <f>L186*IF(OR(Dashboard!$W$8="All",J186=Dashboard!$W$8),1,0)</f>
        <v>1</v>
      </c>
    </row>
    <row r="187" spans="1:13" x14ac:dyDescent="0.25">
      <c r="A187" s="23">
        <v>46044.235567129603</v>
      </c>
      <c r="B187" s="19" t="s">
        <v>36</v>
      </c>
      <c r="C187" s="19" t="s">
        <v>29</v>
      </c>
      <c r="D187" s="19" t="s">
        <v>53</v>
      </c>
      <c r="E187" s="19" t="s">
        <v>435</v>
      </c>
      <c r="F187" s="19" t="s">
        <v>436</v>
      </c>
      <c r="G187" s="19" t="s">
        <v>59</v>
      </c>
      <c r="H187" s="19">
        <v>35</v>
      </c>
      <c r="I187" s="19">
        <v>162</v>
      </c>
      <c r="J187" s="19" t="str">
        <f t="shared" si="2"/>
        <v>Jan</v>
      </c>
      <c r="K187" s="19" t="str">
        <f>IF(I187&lt;=Calc!$B$2,"Yes","No")</f>
        <v>No</v>
      </c>
      <c r="L187" s="19">
        <f>IF(AND(OR(Dashboard!$W$6="All",C187=Dashboard!$W$6),OR(Dashboard!$W$7="All",D187=Dashboard!$W$7)),1,0)</f>
        <v>1</v>
      </c>
      <c r="M187" s="19">
        <f>L187*IF(OR(Dashboard!$W$8="All",J187=Dashboard!$W$8),1,0)</f>
        <v>1</v>
      </c>
    </row>
    <row r="188" spans="1:13" x14ac:dyDescent="0.25">
      <c r="A188" s="23">
        <v>46044.554166666698</v>
      </c>
      <c r="B188" s="19" t="s">
        <v>26</v>
      </c>
      <c r="C188" s="19" t="s">
        <v>31</v>
      </c>
      <c r="D188" s="19" t="s">
        <v>69</v>
      </c>
      <c r="E188" s="19" t="s">
        <v>437</v>
      </c>
      <c r="F188" s="19" t="s">
        <v>438</v>
      </c>
      <c r="G188" s="19" t="s">
        <v>100</v>
      </c>
      <c r="H188" s="19">
        <v>18</v>
      </c>
      <c r="I188" s="19">
        <v>86</v>
      </c>
      <c r="J188" s="19" t="str">
        <f t="shared" si="2"/>
        <v>Jan</v>
      </c>
      <c r="K188" s="19" t="str">
        <f>IF(I188&lt;=Calc!$B$2,"Yes","No")</f>
        <v>No</v>
      </c>
      <c r="L188" s="19">
        <f>IF(AND(OR(Dashboard!$W$6="All",C188=Dashboard!$W$6),OR(Dashboard!$W$7="All",D188=Dashboard!$W$7)),1,0)</f>
        <v>1</v>
      </c>
      <c r="M188" s="19">
        <f>L188*IF(OR(Dashboard!$W$8="All",J188=Dashboard!$W$8),1,0)</f>
        <v>1</v>
      </c>
    </row>
    <row r="189" spans="1:13" x14ac:dyDescent="0.25">
      <c r="A189" s="23">
        <v>46044.928553240701</v>
      </c>
      <c r="B189" s="19" t="s">
        <v>35</v>
      </c>
      <c r="C189" s="19" t="s">
        <v>25</v>
      </c>
      <c r="D189" s="19" t="s">
        <v>69</v>
      </c>
      <c r="E189" s="19" t="s">
        <v>439</v>
      </c>
      <c r="F189" s="19" t="s">
        <v>440</v>
      </c>
      <c r="G189" s="19" t="s">
        <v>64</v>
      </c>
      <c r="H189" s="19">
        <v>22</v>
      </c>
      <c r="I189" s="19">
        <v>147</v>
      </c>
      <c r="J189" s="19" t="str">
        <f t="shared" si="2"/>
        <v>Jan</v>
      </c>
      <c r="K189" s="19" t="str">
        <f>IF(I189&lt;=Calc!$B$2,"Yes","No")</f>
        <v>No</v>
      </c>
      <c r="L189" s="19">
        <f>IF(AND(OR(Dashboard!$W$6="All",C189=Dashboard!$W$6),OR(Dashboard!$W$7="All",D189=Dashboard!$W$7)),1,0)</f>
        <v>1</v>
      </c>
      <c r="M189" s="19">
        <f>L189*IF(OR(Dashboard!$W$8="All",J189=Dashboard!$W$8),1,0)</f>
        <v>1</v>
      </c>
    </row>
    <row r="190" spans="1:13" x14ac:dyDescent="0.25">
      <c r="A190" s="23">
        <v>46044.971111111103</v>
      </c>
      <c r="B190" s="19" t="s">
        <v>33</v>
      </c>
      <c r="C190" s="19" t="s">
        <v>27</v>
      </c>
      <c r="D190" s="19" t="s">
        <v>73</v>
      </c>
      <c r="E190" s="19" t="s">
        <v>441</v>
      </c>
      <c r="F190" s="19" t="s">
        <v>442</v>
      </c>
      <c r="G190" s="19" t="s">
        <v>68</v>
      </c>
      <c r="H190" s="19">
        <v>4</v>
      </c>
      <c r="I190" s="19">
        <v>109</v>
      </c>
      <c r="J190" s="19" t="str">
        <f t="shared" si="2"/>
        <v>Jan</v>
      </c>
      <c r="K190" s="19" t="str">
        <f>IF(I190&lt;=Calc!$B$2,"Yes","No")</f>
        <v>No</v>
      </c>
      <c r="L190" s="19">
        <f>IF(AND(OR(Dashboard!$W$6="All",C190=Dashboard!$W$6),OR(Dashboard!$W$7="All",D190=Dashboard!$W$7)),1,0)</f>
        <v>1</v>
      </c>
      <c r="M190" s="19">
        <f>L190*IF(OR(Dashboard!$W$8="All",J190=Dashboard!$W$8),1,0)</f>
        <v>1</v>
      </c>
    </row>
    <row r="191" spans="1:13" x14ac:dyDescent="0.25">
      <c r="A191" s="23">
        <v>46045.051979166703</v>
      </c>
      <c r="B191" s="19" t="s">
        <v>36</v>
      </c>
      <c r="C191" s="19" t="s">
        <v>25</v>
      </c>
      <c r="D191" s="19" t="s">
        <v>73</v>
      </c>
      <c r="E191" s="19" t="s">
        <v>443</v>
      </c>
      <c r="F191" s="19" t="s">
        <v>444</v>
      </c>
      <c r="G191" s="19" t="s">
        <v>59</v>
      </c>
      <c r="H191" s="19">
        <v>39</v>
      </c>
      <c r="I191" s="19">
        <v>140</v>
      </c>
      <c r="J191" s="19" t="str">
        <f t="shared" si="2"/>
        <v>Jan</v>
      </c>
      <c r="K191" s="19" t="str">
        <f>IF(I191&lt;=Calc!$B$2,"Yes","No")</f>
        <v>No</v>
      </c>
      <c r="L191" s="19">
        <f>IF(AND(OR(Dashboard!$W$6="All",C191=Dashboard!$W$6),OR(Dashboard!$W$7="All",D191=Dashboard!$W$7)),1,0)</f>
        <v>1</v>
      </c>
      <c r="M191" s="19">
        <f>L191*IF(OR(Dashboard!$W$8="All",J191=Dashboard!$W$8),1,0)</f>
        <v>1</v>
      </c>
    </row>
    <row r="192" spans="1:13" x14ac:dyDescent="0.25">
      <c r="A192" s="23">
        <v>46045.081064814804</v>
      </c>
      <c r="B192" s="19" t="s">
        <v>26</v>
      </c>
      <c r="C192" s="19" t="s">
        <v>27</v>
      </c>
      <c r="D192" s="19" t="s">
        <v>53</v>
      </c>
      <c r="E192" s="19" t="s">
        <v>445</v>
      </c>
      <c r="F192" s="19" t="s">
        <v>446</v>
      </c>
      <c r="G192" s="19" t="s">
        <v>100</v>
      </c>
      <c r="H192" s="19">
        <v>23</v>
      </c>
      <c r="I192" s="19">
        <v>98</v>
      </c>
      <c r="J192" s="19" t="str">
        <f t="shared" si="2"/>
        <v>Jan</v>
      </c>
      <c r="K192" s="19" t="str">
        <f>IF(I192&lt;=Calc!$B$2,"Yes","No")</f>
        <v>No</v>
      </c>
      <c r="L192" s="19">
        <f>IF(AND(OR(Dashboard!$W$6="All",C192=Dashboard!$W$6),OR(Dashboard!$W$7="All",D192=Dashboard!$W$7)),1,0)</f>
        <v>1</v>
      </c>
      <c r="M192" s="19">
        <f>L192*IF(OR(Dashboard!$W$8="All",J192=Dashboard!$W$8),1,0)</f>
        <v>1</v>
      </c>
    </row>
    <row r="193" spans="1:13" x14ac:dyDescent="0.25">
      <c r="A193" s="23">
        <v>46045.097326388903</v>
      </c>
      <c r="B193" s="19" t="s">
        <v>32</v>
      </c>
      <c r="C193" s="19" t="s">
        <v>25</v>
      </c>
      <c r="D193" s="19" t="s">
        <v>69</v>
      </c>
      <c r="E193" s="19" t="s">
        <v>447</v>
      </c>
      <c r="F193" s="19" t="s">
        <v>448</v>
      </c>
      <c r="G193" s="19" t="s">
        <v>72</v>
      </c>
      <c r="H193" s="19">
        <v>19</v>
      </c>
      <c r="I193" s="19">
        <v>184</v>
      </c>
      <c r="J193" s="19" t="str">
        <f t="shared" si="2"/>
        <v>Jan</v>
      </c>
      <c r="K193" s="19" t="str">
        <f>IF(I193&lt;=Calc!$B$2,"Yes","No")</f>
        <v>No</v>
      </c>
      <c r="L193" s="19">
        <f>IF(AND(OR(Dashboard!$W$6="All",C193=Dashboard!$W$6),OR(Dashboard!$W$7="All",D193=Dashboard!$W$7)),1,0)</f>
        <v>1</v>
      </c>
      <c r="M193" s="19">
        <f>L193*IF(OR(Dashboard!$W$8="All",J193=Dashboard!$W$8),1,0)</f>
        <v>1</v>
      </c>
    </row>
    <row r="194" spans="1:13" x14ac:dyDescent="0.25">
      <c r="A194" s="23">
        <v>46045.308113425897</v>
      </c>
      <c r="B194" s="19" t="s">
        <v>26</v>
      </c>
      <c r="C194" s="19" t="s">
        <v>25</v>
      </c>
      <c r="D194" s="19" t="s">
        <v>65</v>
      </c>
      <c r="E194" s="19" t="s">
        <v>449</v>
      </c>
      <c r="F194" s="19" t="s">
        <v>450</v>
      </c>
      <c r="G194" s="19" t="s">
        <v>100</v>
      </c>
      <c r="H194" s="19">
        <v>47</v>
      </c>
      <c r="I194" s="19">
        <v>125</v>
      </c>
      <c r="J194" s="19" t="str">
        <f t="shared" ref="J194:J257" si="3">CHOOSE(MONTH(A194),"Jan","Feb","Mar","Apr","May","Jun","Jul","Aug","Sep","Oct","Nov","Dec")</f>
        <v>Jan</v>
      </c>
      <c r="K194" s="19" t="str">
        <f>IF(I194&lt;=Calc!$B$2,"Yes","No")</f>
        <v>No</v>
      </c>
      <c r="L194" s="19">
        <f>IF(AND(OR(Dashboard!$W$6="All",C194=Dashboard!$W$6),OR(Dashboard!$W$7="All",D194=Dashboard!$W$7)),1,0)</f>
        <v>1</v>
      </c>
      <c r="M194" s="19">
        <f>L194*IF(OR(Dashboard!$W$8="All",J194=Dashboard!$W$8),1,0)</f>
        <v>1</v>
      </c>
    </row>
    <row r="195" spans="1:13" x14ac:dyDescent="0.25">
      <c r="A195" s="23">
        <v>46045.332592592596</v>
      </c>
      <c r="B195" s="19" t="s">
        <v>30</v>
      </c>
      <c r="C195" s="19" t="s">
        <v>29</v>
      </c>
      <c r="D195" s="19" t="s">
        <v>69</v>
      </c>
      <c r="E195" s="19" t="s">
        <v>451</v>
      </c>
      <c r="F195" s="19" t="s">
        <v>452</v>
      </c>
      <c r="G195" s="19" t="s">
        <v>93</v>
      </c>
      <c r="H195" s="19">
        <v>28</v>
      </c>
      <c r="I195" s="19">
        <v>167</v>
      </c>
      <c r="J195" s="19" t="str">
        <f t="shared" si="3"/>
        <v>Jan</v>
      </c>
      <c r="K195" s="19" t="str">
        <f>IF(I195&lt;=Calc!$B$2,"Yes","No")</f>
        <v>No</v>
      </c>
      <c r="L195" s="19">
        <f>IF(AND(OR(Dashboard!$W$6="All",C195=Dashboard!$W$6),OR(Dashboard!$W$7="All",D195=Dashboard!$W$7)),1,0)</f>
        <v>1</v>
      </c>
      <c r="M195" s="19">
        <f>L195*IF(OR(Dashboard!$W$8="All",J195=Dashboard!$W$8),1,0)</f>
        <v>1</v>
      </c>
    </row>
    <row r="196" spans="1:13" x14ac:dyDescent="0.25">
      <c r="A196" s="23">
        <v>46045.543252314797</v>
      </c>
      <c r="B196" s="19" t="s">
        <v>36</v>
      </c>
      <c r="C196" s="19" t="s">
        <v>27</v>
      </c>
      <c r="D196" s="19" t="s">
        <v>53</v>
      </c>
      <c r="E196" s="19" t="s">
        <v>453</v>
      </c>
      <c r="F196" s="19" t="s">
        <v>454</v>
      </c>
      <c r="G196" s="19" t="s">
        <v>59</v>
      </c>
      <c r="H196" s="19">
        <v>1</v>
      </c>
      <c r="I196" s="19">
        <v>61</v>
      </c>
      <c r="J196" s="19" t="str">
        <f t="shared" si="3"/>
        <v>Jan</v>
      </c>
      <c r="K196" s="19" t="str">
        <f>IF(I196&lt;=Calc!$B$2,"Yes","No")</f>
        <v>No</v>
      </c>
      <c r="L196" s="19">
        <f>IF(AND(OR(Dashboard!$W$6="All",C196=Dashboard!$W$6),OR(Dashboard!$W$7="All",D196=Dashboard!$W$7)),1,0)</f>
        <v>1</v>
      </c>
      <c r="M196" s="19">
        <f>L196*IF(OR(Dashboard!$W$8="All",J196=Dashboard!$W$8),1,0)</f>
        <v>1</v>
      </c>
    </row>
    <row r="197" spans="1:13" x14ac:dyDescent="0.25">
      <c r="A197" s="23">
        <v>46045.574756944399</v>
      </c>
      <c r="B197" s="19" t="s">
        <v>36</v>
      </c>
      <c r="C197" s="19" t="s">
        <v>25</v>
      </c>
      <c r="D197" s="19" t="s">
        <v>65</v>
      </c>
      <c r="E197" s="19" t="s">
        <v>455</v>
      </c>
      <c r="F197" s="19" t="s">
        <v>456</v>
      </c>
      <c r="G197" s="19" t="s">
        <v>59</v>
      </c>
      <c r="H197" s="19">
        <v>23</v>
      </c>
      <c r="I197" s="19">
        <v>153</v>
      </c>
      <c r="J197" s="19" t="str">
        <f t="shared" si="3"/>
        <v>Jan</v>
      </c>
      <c r="K197" s="19" t="str">
        <f>IF(I197&lt;=Calc!$B$2,"Yes","No")</f>
        <v>No</v>
      </c>
      <c r="L197" s="19">
        <f>IF(AND(OR(Dashboard!$W$6="All",C197=Dashboard!$W$6),OR(Dashboard!$W$7="All",D197=Dashboard!$W$7)),1,0)</f>
        <v>1</v>
      </c>
      <c r="M197" s="19">
        <f>L197*IF(OR(Dashboard!$W$8="All",J197=Dashboard!$W$8),1,0)</f>
        <v>1</v>
      </c>
    </row>
    <row r="198" spans="1:13" x14ac:dyDescent="0.25">
      <c r="A198" s="23">
        <v>46045.621481481503</v>
      </c>
      <c r="B198" s="19" t="s">
        <v>26</v>
      </c>
      <c r="C198" s="19" t="s">
        <v>29</v>
      </c>
      <c r="D198" s="19" t="s">
        <v>73</v>
      </c>
      <c r="E198" s="19" t="s">
        <v>457</v>
      </c>
      <c r="F198" s="19" t="s">
        <v>458</v>
      </c>
      <c r="G198" s="19" t="s">
        <v>100</v>
      </c>
      <c r="H198" s="19">
        <v>21</v>
      </c>
      <c r="I198" s="19">
        <v>170</v>
      </c>
      <c r="J198" s="19" t="str">
        <f t="shared" si="3"/>
        <v>Jan</v>
      </c>
      <c r="K198" s="19" t="str">
        <f>IF(I198&lt;=Calc!$B$2,"Yes","No")</f>
        <v>No</v>
      </c>
      <c r="L198" s="19">
        <f>IF(AND(OR(Dashboard!$W$6="All",C198=Dashboard!$W$6),OR(Dashboard!$W$7="All",D198=Dashboard!$W$7)),1,0)</f>
        <v>1</v>
      </c>
      <c r="M198" s="19">
        <f>L198*IF(OR(Dashboard!$W$8="All",J198=Dashboard!$W$8),1,0)</f>
        <v>1</v>
      </c>
    </row>
    <row r="199" spans="1:13" x14ac:dyDescent="0.25">
      <c r="A199" s="23">
        <v>46045.621921296297</v>
      </c>
      <c r="B199" s="19" t="s">
        <v>28</v>
      </c>
      <c r="C199" s="19" t="s">
        <v>29</v>
      </c>
      <c r="D199" s="19" t="s">
        <v>53</v>
      </c>
      <c r="E199" s="19" t="s">
        <v>459</v>
      </c>
      <c r="F199" s="19" t="s">
        <v>460</v>
      </c>
      <c r="G199" s="19" t="s">
        <v>90</v>
      </c>
      <c r="H199" s="19">
        <v>14</v>
      </c>
      <c r="I199" s="19">
        <v>105</v>
      </c>
      <c r="J199" s="19" t="str">
        <f t="shared" si="3"/>
        <v>Jan</v>
      </c>
      <c r="K199" s="19" t="str">
        <f>IF(I199&lt;=Calc!$B$2,"Yes","No")</f>
        <v>No</v>
      </c>
      <c r="L199" s="19">
        <f>IF(AND(OR(Dashboard!$W$6="All",C199=Dashboard!$W$6),OR(Dashboard!$W$7="All",D199=Dashboard!$W$7)),1,0)</f>
        <v>1</v>
      </c>
      <c r="M199" s="19">
        <f>L199*IF(OR(Dashboard!$W$8="All",J199=Dashboard!$W$8),1,0)</f>
        <v>1</v>
      </c>
    </row>
    <row r="200" spans="1:13" x14ac:dyDescent="0.25">
      <c r="A200" s="23">
        <v>46045.720949074101</v>
      </c>
      <c r="B200" s="19" t="s">
        <v>26</v>
      </c>
      <c r="C200" s="19" t="s">
        <v>29</v>
      </c>
      <c r="D200" s="19" t="s">
        <v>69</v>
      </c>
      <c r="E200" s="19" t="s">
        <v>461</v>
      </c>
      <c r="F200" s="19" t="s">
        <v>462</v>
      </c>
      <c r="G200" s="19" t="s">
        <v>100</v>
      </c>
      <c r="H200" s="19">
        <v>30</v>
      </c>
      <c r="I200" s="19">
        <v>173</v>
      </c>
      <c r="J200" s="19" t="str">
        <f t="shared" si="3"/>
        <v>Jan</v>
      </c>
      <c r="K200" s="19" t="str">
        <f>IF(I200&lt;=Calc!$B$2,"Yes","No")</f>
        <v>No</v>
      </c>
      <c r="L200" s="19">
        <f>IF(AND(OR(Dashboard!$W$6="All",C200=Dashboard!$W$6),OR(Dashboard!$W$7="All",D200=Dashboard!$W$7)),1,0)</f>
        <v>1</v>
      </c>
      <c r="M200" s="19">
        <f>L200*IF(OR(Dashboard!$W$8="All",J200=Dashboard!$W$8),1,0)</f>
        <v>1</v>
      </c>
    </row>
    <row r="201" spans="1:13" x14ac:dyDescent="0.25">
      <c r="A201" s="23">
        <v>46045.767060185201</v>
      </c>
      <c r="B201" s="19" t="s">
        <v>32</v>
      </c>
      <c r="C201" s="19" t="s">
        <v>27</v>
      </c>
      <c r="D201" s="19" t="s">
        <v>73</v>
      </c>
      <c r="E201" s="19" t="s">
        <v>463</v>
      </c>
      <c r="F201" s="19" t="s">
        <v>464</v>
      </c>
      <c r="G201" s="19" t="s">
        <v>72</v>
      </c>
      <c r="H201" s="19">
        <v>1</v>
      </c>
      <c r="I201" s="19">
        <v>78</v>
      </c>
      <c r="J201" s="19" t="str">
        <f t="shared" si="3"/>
        <v>Jan</v>
      </c>
      <c r="K201" s="19" t="str">
        <f>IF(I201&lt;=Calc!$B$2,"Yes","No")</f>
        <v>No</v>
      </c>
      <c r="L201" s="19">
        <f>IF(AND(OR(Dashboard!$W$6="All",C201=Dashboard!$W$6),OR(Dashboard!$W$7="All",D201=Dashboard!$W$7)),1,0)</f>
        <v>1</v>
      </c>
      <c r="M201" s="19">
        <f>L201*IF(OR(Dashboard!$W$8="All",J201=Dashboard!$W$8),1,0)</f>
        <v>1</v>
      </c>
    </row>
    <row r="202" spans="1:13" x14ac:dyDescent="0.25">
      <c r="A202" s="23">
        <v>46045.891770833303</v>
      </c>
      <c r="B202" s="19" t="s">
        <v>26</v>
      </c>
      <c r="C202" s="19" t="s">
        <v>31</v>
      </c>
      <c r="D202" s="19" t="s">
        <v>69</v>
      </c>
      <c r="E202" s="19" t="s">
        <v>465</v>
      </c>
      <c r="F202" s="19" t="s">
        <v>466</v>
      </c>
      <c r="G202" s="19" t="s">
        <v>100</v>
      </c>
      <c r="H202" s="19">
        <v>26</v>
      </c>
      <c r="I202" s="19">
        <v>97</v>
      </c>
      <c r="J202" s="19" t="str">
        <f t="shared" si="3"/>
        <v>Jan</v>
      </c>
      <c r="K202" s="19" t="str">
        <f>IF(I202&lt;=Calc!$B$2,"Yes","No")</f>
        <v>No</v>
      </c>
      <c r="L202" s="19">
        <f>IF(AND(OR(Dashboard!$W$6="All",C202=Dashboard!$W$6),OR(Dashboard!$W$7="All",D202=Dashboard!$W$7)),1,0)</f>
        <v>1</v>
      </c>
      <c r="M202" s="19">
        <f>L202*IF(OR(Dashboard!$W$8="All",J202=Dashboard!$W$8),1,0)</f>
        <v>1</v>
      </c>
    </row>
    <row r="203" spans="1:13" x14ac:dyDescent="0.25">
      <c r="A203" s="23">
        <v>46045.942696759303</v>
      </c>
      <c r="B203" s="19" t="s">
        <v>26</v>
      </c>
      <c r="C203" s="19" t="s">
        <v>25</v>
      </c>
      <c r="D203" s="19" t="s">
        <v>65</v>
      </c>
      <c r="E203" s="19" t="s">
        <v>467</v>
      </c>
      <c r="F203" s="19" t="s">
        <v>468</v>
      </c>
      <c r="G203" s="19" t="s">
        <v>100</v>
      </c>
      <c r="H203" s="19">
        <v>29</v>
      </c>
      <c r="I203" s="19">
        <v>177</v>
      </c>
      <c r="J203" s="19" t="str">
        <f t="shared" si="3"/>
        <v>Jan</v>
      </c>
      <c r="K203" s="19" t="str">
        <f>IF(I203&lt;=Calc!$B$2,"Yes","No")</f>
        <v>No</v>
      </c>
      <c r="L203" s="19">
        <f>IF(AND(OR(Dashboard!$W$6="All",C203=Dashboard!$W$6),OR(Dashboard!$W$7="All",D203=Dashboard!$W$7)),1,0)</f>
        <v>1</v>
      </c>
      <c r="M203" s="19">
        <f>L203*IF(OR(Dashboard!$W$8="All",J203=Dashboard!$W$8),1,0)</f>
        <v>1</v>
      </c>
    </row>
    <row r="204" spans="1:13" x14ac:dyDescent="0.25">
      <c r="A204" s="23">
        <v>46045.950162036999</v>
      </c>
      <c r="B204" s="19" t="s">
        <v>34</v>
      </c>
      <c r="C204" s="19" t="s">
        <v>27</v>
      </c>
      <c r="D204" s="19" t="s">
        <v>65</v>
      </c>
      <c r="E204" s="19" t="s">
        <v>469</v>
      </c>
      <c r="F204" s="19" t="s">
        <v>470</v>
      </c>
      <c r="G204" s="19" t="s">
        <v>56</v>
      </c>
      <c r="H204" s="19">
        <v>37</v>
      </c>
      <c r="I204" s="19">
        <v>83</v>
      </c>
      <c r="J204" s="19" t="str">
        <f t="shared" si="3"/>
        <v>Jan</v>
      </c>
      <c r="K204" s="19" t="str">
        <f>IF(I204&lt;=Calc!$B$2,"Yes","No")</f>
        <v>No</v>
      </c>
      <c r="L204" s="19">
        <f>IF(AND(OR(Dashboard!$W$6="All",C204=Dashboard!$W$6),OR(Dashboard!$W$7="All",D204=Dashboard!$W$7)),1,0)</f>
        <v>1</v>
      </c>
      <c r="M204" s="19">
        <f>L204*IF(OR(Dashboard!$W$8="All",J204=Dashboard!$W$8),1,0)</f>
        <v>1</v>
      </c>
    </row>
    <row r="205" spans="1:13" x14ac:dyDescent="0.25">
      <c r="A205" s="23">
        <v>46045.984907407401</v>
      </c>
      <c r="B205" s="19" t="s">
        <v>35</v>
      </c>
      <c r="C205" s="19" t="s">
        <v>25</v>
      </c>
      <c r="D205" s="19" t="s">
        <v>69</v>
      </c>
      <c r="E205" s="19" t="s">
        <v>471</v>
      </c>
      <c r="F205" s="19" t="s">
        <v>472</v>
      </c>
      <c r="G205" s="19" t="s">
        <v>64</v>
      </c>
      <c r="H205" s="19">
        <v>46</v>
      </c>
      <c r="I205" s="19">
        <v>157</v>
      </c>
      <c r="J205" s="19" t="str">
        <f t="shared" si="3"/>
        <v>Jan</v>
      </c>
      <c r="K205" s="19" t="str">
        <f>IF(I205&lt;=Calc!$B$2,"Yes","No")</f>
        <v>No</v>
      </c>
      <c r="L205" s="19">
        <f>IF(AND(OR(Dashboard!$W$6="All",C205=Dashboard!$W$6),OR(Dashboard!$W$7="All",D205=Dashboard!$W$7)),1,0)</f>
        <v>1</v>
      </c>
      <c r="M205" s="19">
        <f>L205*IF(OR(Dashboard!$W$8="All",J205=Dashboard!$W$8),1,0)</f>
        <v>1</v>
      </c>
    </row>
    <row r="206" spans="1:13" x14ac:dyDescent="0.25">
      <c r="A206" s="23">
        <v>46045.988252314797</v>
      </c>
      <c r="B206" s="19" t="s">
        <v>35</v>
      </c>
      <c r="C206" s="19" t="s">
        <v>25</v>
      </c>
      <c r="D206" s="19" t="s">
        <v>65</v>
      </c>
      <c r="E206" s="19" t="s">
        <v>473</v>
      </c>
      <c r="F206" s="19" t="s">
        <v>474</v>
      </c>
      <c r="G206" s="19" t="s">
        <v>64</v>
      </c>
      <c r="H206" s="19">
        <v>6</v>
      </c>
      <c r="I206" s="19">
        <v>156</v>
      </c>
      <c r="J206" s="19" t="str">
        <f t="shared" si="3"/>
        <v>Jan</v>
      </c>
      <c r="K206" s="19" t="str">
        <f>IF(I206&lt;=Calc!$B$2,"Yes","No")</f>
        <v>No</v>
      </c>
      <c r="L206" s="19">
        <f>IF(AND(OR(Dashboard!$W$6="All",C206=Dashboard!$W$6),OR(Dashboard!$W$7="All",D206=Dashboard!$W$7)),1,0)</f>
        <v>1</v>
      </c>
      <c r="M206" s="19">
        <f>L206*IF(OR(Dashboard!$W$8="All",J206=Dashboard!$W$8),1,0)</f>
        <v>1</v>
      </c>
    </row>
    <row r="207" spans="1:13" x14ac:dyDescent="0.25">
      <c r="A207" s="23">
        <v>46046.150173611102</v>
      </c>
      <c r="B207" s="19" t="s">
        <v>36</v>
      </c>
      <c r="C207" s="19" t="s">
        <v>29</v>
      </c>
      <c r="D207" s="19" t="s">
        <v>73</v>
      </c>
      <c r="E207" s="19" t="s">
        <v>475</v>
      </c>
      <c r="F207" s="19" t="s">
        <v>476</v>
      </c>
      <c r="G207" s="19" t="s">
        <v>59</v>
      </c>
      <c r="H207" s="19">
        <v>30</v>
      </c>
      <c r="I207" s="19">
        <v>165</v>
      </c>
      <c r="J207" s="19" t="str">
        <f t="shared" si="3"/>
        <v>Jan</v>
      </c>
      <c r="K207" s="19" t="str">
        <f>IF(I207&lt;=Calc!$B$2,"Yes","No")</f>
        <v>No</v>
      </c>
      <c r="L207" s="19">
        <f>IF(AND(OR(Dashboard!$W$6="All",C207=Dashboard!$W$6),OR(Dashboard!$W$7="All",D207=Dashboard!$W$7)),1,0)</f>
        <v>1</v>
      </c>
      <c r="M207" s="19">
        <f>L207*IF(OR(Dashboard!$W$8="All",J207=Dashboard!$W$8),1,0)</f>
        <v>1</v>
      </c>
    </row>
    <row r="208" spans="1:13" x14ac:dyDescent="0.25">
      <c r="A208" s="23">
        <v>46046.183865740699</v>
      </c>
      <c r="B208" s="19" t="s">
        <v>36</v>
      </c>
      <c r="C208" s="19" t="s">
        <v>27</v>
      </c>
      <c r="D208" s="19" t="s">
        <v>65</v>
      </c>
      <c r="E208" s="19" t="s">
        <v>477</v>
      </c>
      <c r="F208" s="19" t="s">
        <v>478</v>
      </c>
      <c r="G208" s="19" t="s">
        <v>59</v>
      </c>
      <c r="H208" s="19">
        <v>8</v>
      </c>
      <c r="I208" s="19">
        <v>48</v>
      </c>
      <c r="J208" s="19" t="str">
        <f t="shared" si="3"/>
        <v>Jan</v>
      </c>
      <c r="K208" s="19" t="str">
        <f>IF(I208&lt;=Calc!$B$2,"Yes","No")</f>
        <v>Yes</v>
      </c>
      <c r="L208" s="19">
        <f>IF(AND(OR(Dashboard!$W$6="All",C208=Dashboard!$W$6),OR(Dashboard!$W$7="All",D208=Dashboard!$W$7)),1,0)</f>
        <v>1</v>
      </c>
      <c r="M208" s="19">
        <f>L208*IF(OR(Dashboard!$W$8="All",J208=Dashboard!$W$8),1,0)</f>
        <v>1</v>
      </c>
    </row>
    <row r="209" spans="1:13" x14ac:dyDescent="0.25">
      <c r="A209" s="23">
        <v>46046.578333333302</v>
      </c>
      <c r="B209" s="19" t="s">
        <v>36</v>
      </c>
      <c r="C209" s="19" t="s">
        <v>25</v>
      </c>
      <c r="D209" s="19" t="s">
        <v>53</v>
      </c>
      <c r="E209" s="19" t="s">
        <v>479</v>
      </c>
      <c r="F209" s="19" t="s">
        <v>480</v>
      </c>
      <c r="G209" s="19" t="s">
        <v>59</v>
      </c>
      <c r="H209" s="19">
        <v>43</v>
      </c>
      <c r="I209" s="19">
        <v>184</v>
      </c>
      <c r="J209" s="19" t="str">
        <f t="shared" si="3"/>
        <v>Jan</v>
      </c>
      <c r="K209" s="19" t="str">
        <f>IF(I209&lt;=Calc!$B$2,"Yes","No")</f>
        <v>No</v>
      </c>
      <c r="L209" s="19">
        <f>IF(AND(OR(Dashboard!$W$6="All",C209=Dashboard!$W$6),OR(Dashboard!$W$7="All",D209=Dashboard!$W$7)),1,0)</f>
        <v>1</v>
      </c>
      <c r="M209" s="19">
        <f>L209*IF(OR(Dashboard!$W$8="All",J209=Dashboard!$W$8),1,0)</f>
        <v>1</v>
      </c>
    </row>
    <row r="210" spans="1:13" x14ac:dyDescent="0.25">
      <c r="A210" s="23">
        <v>46046.601631944497</v>
      </c>
      <c r="B210" s="19" t="s">
        <v>34</v>
      </c>
      <c r="C210" s="19" t="s">
        <v>29</v>
      </c>
      <c r="D210" s="19" t="s">
        <v>73</v>
      </c>
      <c r="E210" s="19" t="s">
        <v>481</v>
      </c>
      <c r="F210" s="19" t="s">
        <v>482</v>
      </c>
      <c r="G210" s="19" t="s">
        <v>56</v>
      </c>
      <c r="H210" s="19">
        <v>21</v>
      </c>
      <c r="I210" s="19">
        <v>125</v>
      </c>
      <c r="J210" s="19" t="str">
        <f t="shared" si="3"/>
        <v>Jan</v>
      </c>
      <c r="K210" s="19" t="str">
        <f>IF(I210&lt;=Calc!$B$2,"Yes","No")</f>
        <v>No</v>
      </c>
      <c r="L210" s="19">
        <f>IF(AND(OR(Dashboard!$W$6="All",C210=Dashboard!$W$6),OR(Dashboard!$W$7="All",D210=Dashboard!$W$7)),1,0)</f>
        <v>1</v>
      </c>
      <c r="M210" s="19">
        <f>L210*IF(OR(Dashboard!$W$8="All",J210=Dashboard!$W$8),1,0)</f>
        <v>1</v>
      </c>
    </row>
    <row r="211" spans="1:13" x14ac:dyDescent="0.25">
      <c r="A211" s="23">
        <v>46046.622581018499</v>
      </c>
      <c r="B211" s="19" t="s">
        <v>32</v>
      </c>
      <c r="C211" s="19" t="s">
        <v>25</v>
      </c>
      <c r="D211" s="19" t="s">
        <v>65</v>
      </c>
      <c r="E211" s="19" t="s">
        <v>483</v>
      </c>
      <c r="F211" s="19" t="s">
        <v>484</v>
      </c>
      <c r="G211" s="19" t="s">
        <v>72</v>
      </c>
      <c r="H211" s="19">
        <v>35</v>
      </c>
      <c r="I211" s="19">
        <v>166</v>
      </c>
      <c r="J211" s="19" t="str">
        <f t="shared" si="3"/>
        <v>Jan</v>
      </c>
      <c r="K211" s="19" t="str">
        <f>IF(I211&lt;=Calc!$B$2,"Yes","No")</f>
        <v>No</v>
      </c>
      <c r="L211" s="19">
        <f>IF(AND(OR(Dashboard!$W$6="All",C211=Dashboard!$W$6),OR(Dashboard!$W$7="All",D211=Dashboard!$W$7)),1,0)</f>
        <v>1</v>
      </c>
      <c r="M211" s="19">
        <f>L211*IF(OR(Dashboard!$W$8="All",J211=Dashboard!$W$8),1,0)</f>
        <v>1</v>
      </c>
    </row>
    <row r="212" spans="1:13" x14ac:dyDescent="0.25">
      <c r="A212" s="23">
        <v>46046.709212962996</v>
      </c>
      <c r="B212" s="19" t="s">
        <v>26</v>
      </c>
      <c r="C212" s="19" t="s">
        <v>27</v>
      </c>
      <c r="D212" s="19" t="s">
        <v>73</v>
      </c>
      <c r="E212" s="19" t="s">
        <v>485</v>
      </c>
      <c r="F212" s="19" t="s">
        <v>486</v>
      </c>
      <c r="G212" s="19" t="s">
        <v>100</v>
      </c>
      <c r="H212" s="19">
        <v>8</v>
      </c>
      <c r="I212" s="19">
        <v>92</v>
      </c>
      <c r="J212" s="19" t="str">
        <f t="shared" si="3"/>
        <v>Jan</v>
      </c>
      <c r="K212" s="19" t="str">
        <f>IF(I212&lt;=Calc!$B$2,"Yes","No")</f>
        <v>No</v>
      </c>
      <c r="L212" s="19">
        <f>IF(AND(OR(Dashboard!$W$6="All",C212=Dashboard!$W$6),OR(Dashboard!$W$7="All",D212=Dashboard!$W$7)),1,0)</f>
        <v>1</v>
      </c>
      <c r="M212" s="19">
        <f>L212*IF(OR(Dashboard!$W$8="All",J212=Dashboard!$W$8),1,0)</f>
        <v>1</v>
      </c>
    </row>
    <row r="213" spans="1:13" x14ac:dyDescent="0.25">
      <c r="A213" s="23">
        <v>46046.743587962999</v>
      </c>
      <c r="B213" s="19" t="s">
        <v>35</v>
      </c>
      <c r="C213" s="19" t="s">
        <v>25</v>
      </c>
      <c r="D213" s="19" t="s">
        <v>65</v>
      </c>
      <c r="E213" s="19" t="s">
        <v>487</v>
      </c>
      <c r="F213" s="19" t="s">
        <v>488</v>
      </c>
      <c r="G213" s="19" t="s">
        <v>64</v>
      </c>
      <c r="H213" s="19">
        <v>49</v>
      </c>
      <c r="I213" s="19">
        <v>185</v>
      </c>
      <c r="J213" s="19" t="str">
        <f t="shared" si="3"/>
        <v>Jan</v>
      </c>
      <c r="K213" s="19" t="str">
        <f>IF(I213&lt;=Calc!$B$2,"Yes","No")</f>
        <v>No</v>
      </c>
      <c r="L213" s="19">
        <f>IF(AND(OR(Dashboard!$W$6="All",C213=Dashboard!$W$6),OR(Dashboard!$W$7="All",D213=Dashboard!$W$7)),1,0)</f>
        <v>1</v>
      </c>
      <c r="M213" s="19">
        <f>L213*IF(OR(Dashboard!$W$8="All",J213=Dashboard!$W$8),1,0)</f>
        <v>1</v>
      </c>
    </row>
    <row r="214" spans="1:13" x14ac:dyDescent="0.25">
      <c r="A214" s="23">
        <v>46046.934629629599</v>
      </c>
      <c r="B214" s="19" t="s">
        <v>26</v>
      </c>
      <c r="C214" s="19" t="s">
        <v>27</v>
      </c>
      <c r="D214" s="19" t="s">
        <v>73</v>
      </c>
      <c r="E214" s="19" t="s">
        <v>489</v>
      </c>
      <c r="F214" s="19" t="s">
        <v>490</v>
      </c>
      <c r="G214" s="19" t="s">
        <v>100</v>
      </c>
      <c r="H214" s="19">
        <v>9</v>
      </c>
      <c r="I214" s="19">
        <v>56</v>
      </c>
      <c r="J214" s="19" t="str">
        <f t="shared" si="3"/>
        <v>Jan</v>
      </c>
      <c r="K214" s="19" t="str">
        <f>IF(I214&lt;=Calc!$B$2,"Yes","No")</f>
        <v>Yes</v>
      </c>
      <c r="L214" s="19">
        <f>IF(AND(OR(Dashboard!$W$6="All",C214=Dashboard!$W$6),OR(Dashboard!$W$7="All",D214=Dashboard!$W$7)),1,0)</f>
        <v>1</v>
      </c>
      <c r="M214" s="19">
        <f>L214*IF(OR(Dashboard!$W$8="All",J214=Dashboard!$W$8),1,0)</f>
        <v>1</v>
      </c>
    </row>
    <row r="215" spans="1:13" x14ac:dyDescent="0.25">
      <c r="A215" s="23">
        <v>46047.094641203701</v>
      </c>
      <c r="B215" s="19" t="s">
        <v>36</v>
      </c>
      <c r="C215" s="19" t="s">
        <v>29</v>
      </c>
      <c r="D215" s="19" t="s">
        <v>73</v>
      </c>
      <c r="E215" s="19" t="s">
        <v>491</v>
      </c>
      <c r="F215" s="19" t="s">
        <v>492</v>
      </c>
      <c r="G215" s="19" t="s">
        <v>59</v>
      </c>
      <c r="H215" s="19">
        <v>32</v>
      </c>
      <c r="I215" s="19">
        <v>121</v>
      </c>
      <c r="J215" s="19" t="str">
        <f t="shared" si="3"/>
        <v>Jan</v>
      </c>
      <c r="K215" s="19" t="str">
        <f>IF(I215&lt;=Calc!$B$2,"Yes","No")</f>
        <v>No</v>
      </c>
      <c r="L215" s="19">
        <f>IF(AND(OR(Dashboard!$W$6="All",C215=Dashboard!$W$6),OR(Dashboard!$W$7="All",D215=Dashboard!$W$7)),1,0)</f>
        <v>1</v>
      </c>
      <c r="M215" s="19">
        <f>L215*IF(OR(Dashboard!$W$8="All",J215=Dashboard!$W$8),1,0)</f>
        <v>1</v>
      </c>
    </row>
    <row r="216" spans="1:13" x14ac:dyDescent="0.25">
      <c r="A216" s="23">
        <v>46047.101585648197</v>
      </c>
      <c r="B216" s="19" t="s">
        <v>30</v>
      </c>
      <c r="C216" s="19" t="s">
        <v>29</v>
      </c>
      <c r="D216" s="19" t="s">
        <v>73</v>
      </c>
      <c r="E216" s="19" t="s">
        <v>493</v>
      </c>
      <c r="F216" s="19" t="s">
        <v>494</v>
      </c>
      <c r="G216" s="19" t="s">
        <v>93</v>
      </c>
      <c r="H216" s="19">
        <v>20</v>
      </c>
      <c r="I216" s="19">
        <v>139</v>
      </c>
      <c r="J216" s="19" t="str">
        <f t="shared" si="3"/>
        <v>Jan</v>
      </c>
      <c r="K216" s="19" t="str">
        <f>IF(I216&lt;=Calc!$B$2,"Yes","No")</f>
        <v>No</v>
      </c>
      <c r="L216" s="19">
        <f>IF(AND(OR(Dashboard!$W$6="All",C216=Dashboard!$W$6),OR(Dashboard!$W$7="All",D216=Dashboard!$W$7)),1,0)</f>
        <v>1</v>
      </c>
      <c r="M216" s="19">
        <f>L216*IF(OR(Dashboard!$W$8="All",J216=Dashboard!$W$8),1,0)</f>
        <v>1</v>
      </c>
    </row>
    <row r="217" spans="1:13" x14ac:dyDescent="0.25">
      <c r="A217" s="23">
        <v>46047.243020833303</v>
      </c>
      <c r="B217" s="19" t="s">
        <v>28</v>
      </c>
      <c r="C217" s="19" t="s">
        <v>27</v>
      </c>
      <c r="D217" s="19" t="s">
        <v>73</v>
      </c>
      <c r="E217" s="19" t="s">
        <v>495</v>
      </c>
      <c r="F217" s="19" t="s">
        <v>496</v>
      </c>
      <c r="G217" s="19" t="s">
        <v>90</v>
      </c>
      <c r="H217" s="19">
        <v>16</v>
      </c>
      <c r="I217" s="19">
        <v>95</v>
      </c>
      <c r="J217" s="19" t="str">
        <f t="shared" si="3"/>
        <v>Jan</v>
      </c>
      <c r="K217" s="19" t="str">
        <f>IF(I217&lt;=Calc!$B$2,"Yes","No")</f>
        <v>No</v>
      </c>
      <c r="L217" s="19">
        <f>IF(AND(OR(Dashboard!$W$6="All",C217=Dashboard!$W$6),OR(Dashboard!$W$7="All",D217=Dashboard!$W$7)),1,0)</f>
        <v>1</v>
      </c>
      <c r="M217" s="19">
        <f>L217*IF(OR(Dashboard!$W$8="All",J217=Dashboard!$W$8),1,0)</f>
        <v>1</v>
      </c>
    </row>
    <row r="218" spans="1:13" x14ac:dyDescent="0.25">
      <c r="A218" s="23">
        <v>46047.280300925901</v>
      </c>
      <c r="B218" s="19" t="s">
        <v>36</v>
      </c>
      <c r="C218" s="19" t="s">
        <v>29</v>
      </c>
      <c r="D218" s="19" t="s">
        <v>69</v>
      </c>
      <c r="E218" s="19" t="s">
        <v>497</v>
      </c>
      <c r="F218" s="19" t="s">
        <v>498</v>
      </c>
      <c r="G218" s="19" t="s">
        <v>59</v>
      </c>
      <c r="H218" s="19">
        <v>38</v>
      </c>
      <c r="I218" s="19">
        <v>215</v>
      </c>
      <c r="J218" s="19" t="str">
        <f t="shared" si="3"/>
        <v>Jan</v>
      </c>
      <c r="K218" s="19" t="str">
        <f>IF(I218&lt;=Calc!$B$2,"Yes","No")</f>
        <v>No</v>
      </c>
      <c r="L218" s="19">
        <f>IF(AND(OR(Dashboard!$W$6="All",C218=Dashboard!$W$6),OR(Dashboard!$W$7="All",D218=Dashboard!$W$7)),1,0)</f>
        <v>1</v>
      </c>
      <c r="M218" s="19">
        <f>L218*IF(OR(Dashboard!$W$8="All",J218=Dashboard!$W$8),1,0)</f>
        <v>1</v>
      </c>
    </row>
    <row r="219" spans="1:13" x14ac:dyDescent="0.25">
      <c r="A219" s="23">
        <v>46047.333437499998</v>
      </c>
      <c r="B219" s="19" t="s">
        <v>28</v>
      </c>
      <c r="C219" s="19" t="s">
        <v>27</v>
      </c>
      <c r="D219" s="19" t="s">
        <v>73</v>
      </c>
      <c r="E219" s="19" t="s">
        <v>499</v>
      </c>
      <c r="F219" s="19" t="s">
        <v>500</v>
      </c>
      <c r="G219" s="19" t="s">
        <v>90</v>
      </c>
      <c r="H219" s="19">
        <v>16</v>
      </c>
      <c r="I219" s="19">
        <v>95</v>
      </c>
      <c r="J219" s="19" t="str">
        <f t="shared" si="3"/>
        <v>Jan</v>
      </c>
      <c r="K219" s="19" t="str">
        <f>IF(I219&lt;=Calc!$B$2,"Yes","No")</f>
        <v>No</v>
      </c>
      <c r="L219" s="19">
        <f>IF(AND(OR(Dashboard!$W$6="All",C219=Dashboard!$W$6),OR(Dashboard!$W$7="All",D219=Dashboard!$W$7)),1,0)</f>
        <v>1</v>
      </c>
      <c r="M219" s="19">
        <f>L219*IF(OR(Dashboard!$W$8="All",J219=Dashboard!$W$8),1,0)</f>
        <v>1</v>
      </c>
    </row>
    <row r="220" spans="1:13" x14ac:dyDescent="0.25">
      <c r="A220" s="23">
        <v>46047.538784722201</v>
      </c>
      <c r="B220" s="19" t="s">
        <v>28</v>
      </c>
      <c r="C220" s="19" t="s">
        <v>25</v>
      </c>
      <c r="D220" s="19" t="s">
        <v>53</v>
      </c>
      <c r="E220" s="19" t="s">
        <v>501</v>
      </c>
      <c r="F220" s="19" t="s">
        <v>502</v>
      </c>
      <c r="G220" s="19" t="s">
        <v>90</v>
      </c>
      <c r="H220" s="19">
        <v>33</v>
      </c>
      <c r="I220" s="19">
        <v>170</v>
      </c>
      <c r="J220" s="19" t="str">
        <f t="shared" si="3"/>
        <v>Jan</v>
      </c>
      <c r="K220" s="19" t="str">
        <f>IF(I220&lt;=Calc!$B$2,"Yes","No")</f>
        <v>No</v>
      </c>
      <c r="L220" s="19">
        <f>IF(AND(OR(Dashboard!$W$6="All",C220=Dashboard!$W$6),OR(Dashboard!$W$7="All",D220=Dashboard!$W$7)),1,0)</f>
        <v>1</v>
      </c>
      <c r="M220" s="19">
        <f>L220*IF(OR(Dashboard!$W$8="All",J220=Dashboard!$W$8),1,0)</f>
        <v>1</v>
      </c>
    </row>
    <row r="221" spans="1:13" x14ac:dyDescent="0.25">
      <c r="A221" s="23">
        <v>46047.669606481497</v>
      </c>
      <c r="B221" s="19" t="s">
        <v>28</v>
      </c>
      <c r="C221" s="19" t="s">
        <v>25</v>
      </c>
      <c r="D221" s="19" t="s">
        <v>53</v>
      </c>
      <c r="E221" s="19" t="s">
        <v>503</v>
      </c>
      <c r="F221" s="19" t="s">
        <v>504</v>
      </c>
      <c r="G221" s="19" t="s">
        <v>90</v>
      </c>
      <c r="H221" s="19">
        <v>21</v>
      </c>
      <c r="I221" s="19">
        <v>167</v>
      </c>
      <c r="J221" s="19" t="str">
        <f t="shared" si="3"/>
        <v>Jan</v>
      </c>
      <c r="K221" s="19" t="str">
        <f>IF(I221&lt;=Calc!$B$2,"Yes","No")</f>
        <v>No</v>
      </c>
      <c r="L221" s="19">
        <f>IF(AND(OR(Dashboard!$W$6="All",C221=Dashboard!$W$6),OR(Dashboard!$W$7="All",D221=Dashboard!$W$7)),1,0)</f>
        <v>1</v>
      </c>
      <c r="M221" s="19">
        <f>L221*IF(OR(Dashboard!$W$8="All",J221=Dashboard!$W$8),1,0)</f>
        <v>1</v>
      </c>
    </row>
    <row r="222" spans="1:13" x14ac:dyDescent="0.25">
      <c r="A222" s="23">
        <v>46047.808472222197</v>
      </c>
      <c r="B222" s="19" t="s">
        <v>34</v>
      </c>
      <c r="C222" s="19" t="s">
        <v>29</v>
      </c>
      <c r="D222" s="19" t="s">
        <v>73</v>
      </c>
      <c r="E222" s="19" t="s">
        <v>505</v>
      </c>
      <c r="F222" s="19" t="s">
        <v>506</v>
      </c>
      <c r="G222" s="19" t="s">
        <v>56</v>
      </c>
      <c r="H222" s="19">
        <v>46</v>
      </c>
      <c r="I222" s="19">
        <v>148</v>
      </c>
      <c r="J222" s="19" t="str">
        <f t="shared" si="3"/>
        <v>Jan</v>
      </c>
      <c r="K222" s="19" t="str">
        <f>IF(I222&lt;=Calc!$B$2,"Yes","No")</f>
        <v>No</v>
      </c>
      <c r="L222" s="19">
        <f>IF(AND(OR(Dashboard!$W$6="All",C222=Dashboard!$W$6),OR(Dashboard!$W$7="All",D222=Dashboard!$W$7)),1,0)</f>
        <v>1</v>
      </c>
      <c r="M222" s="19">
        <f>L222*IF(OR(Dashboard!$W$8="All",J222=Dashboard!$W$8),1,0)</f>
        <v>1</v>
      </c>
    </row>
    <row r="223" spans="1:13" x14ac:dyDescent="0.25">
      <c r="A223" s="23">
        <v>46047.977939814802</v>
      </c>
      <c r="B223" s="19" t="s">
        <v>32</v>
      </c>
      <c r="C223" s="19" t="s">
        <v>25</v>
      </c>
      <c r="D223" s="19" t="s">
        <v>65</v>
      </c>
      <c r="E223" s="19" t="s">
        <v>507</v>
      </c>
      <c r="F223" s="19" t="s">
        <v>508</v>
      </c>
      <c r="G223" s="19" t="s">
        <v>72</v>
      </c>
      <c r="H223" s="19">
        <v>22</v>
      </c>
      <c r="I223" s="19">
        <v>184</v>
      </c>
      <c r="J223" s="19" t="str">
        <f t="shared" si="3"/>
        <v>Jan</v>
      </c>
      <c r="K223" s="19" t="str">
        <f>IF(I223&lt;=Calc!$B$2,"Yes","No")</f>
        <v>No</v>
      </c>
      <c r="L223" s="19">
        <f>IF(AND(OR(Dashboard!$W$6="All",C223=Dashboard!$W$6),OR(Dashboard!$W$7="All",D223=Dashboard!$W$7)),1,0)</f>
        <v>1</v>
      </c>
      <c r="M223" s="19">
        <f>L223*IF(OR(Dashboard!$W$8="All",J223=Dashboard!$W$8),1,0)</f>
        <v>1</v>
      </c>
    </row>
    <row r="224" spans="1:13" x14ac:dyDescent="0.25">
      <c r="A224" s="23">
        <v>46048.112222222197</v>
      </c>
      <c r="B224" s="19" t="s">
        <v>30</v>
      </c>
      <c r="C224" s="19" t="s">
        <v>27</v>
      </c>
      <c r="D224" s="19" t="s">
        <v>65</v>
      </c>
      <c r="E224" s="19" t="s">
        <v>509</v>
      </c>
      <c r="F224" s="19" t="s">
        <v>510</v>
      </c>
      <c r="G224" s="19" t="s">
        <v>93</v>
      </c>
      <c r="H224" s="19">
        <v>8</v>
      </c>
      <c r="I224" s="19">
        <v>58</v>
      </c>
      <c r="J224" s="19" t="str">
        <f t="shared" si="3"/>
        <v>Jan</v>
      </c>
      <c r="K224" s="19" t="str">
        <f>IF(I224&lt;=Calc!$B$2,"Yes","No")</f>
        <v>Yes</v>
      </c>
      <c r="L224" s="19">
        <f>IF(AND(OR(Dashboard!$W$6="All",C224=Dashboard!$W$6),OR(Dashboard!$W$7="All",D224=Dashboard!$W$7)),1,0)</f>
        <v>1</v>
      </c>
      <c r="M224" s="19">
        <f>L224*IF(OR(Dashboard!$W$8="All",J224=Dashboard!$W$8),1,0)</f>
        <v>1</v>
      </c>
    </row>
    <row r="225" spans="1:13" x14ac:dyDescent="0.25">
      <c r="A225" s="23">
        <v>46048.112592592603</v>
      </c>
      <c r="B225" s="19" t="s">
        <v>30</v>
      </c>
      <c r="C225" s="19" t="s">
        <v>27</v>
      </c>
      <c r="D225" s="19" t="s">
        <v>53</v>
      </c>
      <c r="E225" s="19" t="s">
        <v>511</v>
      </c>
      <c r="F225" s="19" t="s">
        <v>512</v>
      </c>
      <c r="G225" s="19" t="s">
        <v>93</v>
      </c>
      <c r="H225" s="19">
        <v>11</v>
      </c>
      <c r="I225" s="19">
        <v>103</v>
      </c>
      <c r="J225" s="19" t="str">
        <f t="shared" si="3"/>
        <v>Jan</v>
      </c>
      <c r="K225" s="19" t="str">
        <f>IF(I225&lt;=Calc!$B$2,"Yes","No")</f>
        <v>No</v>
      </c>
      <c r="L225" s="19">
        <f>IF(AND(OR(Dashboard!$W$6="All",C225=Dashboard!$W$6),OR(Dashboard!$W$7="All",D225=Dashboard!$W$7)),1,0)</f>
        <v>1</v>
      </c>
      <c r="M225" s="19">
        <f>L225*IF(OR(Dashboard!$W$8="All",J225=Dashboard!$W$8),1,0)</f>
        <v>1</v>
      </c>
    </row>
    <row r="226" spans="1:13" x14ac:dyDescent="0.25">
      <c r="A226" s="23">
        <v>46048.170381944401</v>
      </c>
      <c r="B226" s="19" t="s">
        <v>34</v>
      </c>
      <c r="C226" s="19" t="s">
        <v>29</v>
      </c>
      <c r="D226" s="19" t="s">
        <v>73</v>
      </c>
      <c r="E226" s="19" t="s">
        <v>513</v>
      </c>
      <c r="F226" s="19" t="s">
        <v>514</v>
      </c>
      <c r="G226" s="19" t="s">
        <v>56</v>
      </c>
      <c r="H226" s="19">
        <v>12</v>
      </c>
      <c r="I226" s="19">
        <v>124</v>
      </c>
      <c r="J226" s="19" t="str">
        <f t="shared" si="3"/>
        <v>Jan</v>
      </c>
      <c r="K226" s="19" t="str">
        <f>IF(I226&lt;=Calc!$B$2,"Yes","No")</f>
        <v>No</v>
      </c>
      <c r="L226" s="19">
        <f>IF(AND(OR(Dashboard!$W$6="All",C226=Dashboard!$W$6),OR(Dashboard!$W$7="All",D226=Dashboard!$W$7)),1,0)</f>
        <v>1</v>
      </c>
      <c r="M226" s="19">
        <f>L226*IF(OR(Dashboard!$W$8="All",J226=Dashboard!$W$8),1,0)</f>
        <v>1</v>
      </c>
    </row>
    <row r="227" spans="1:13" x14ac:dyDescent="0.25">
      <c r="A227" s="23">
        <v>46048.369988425897</v>
      </c>
      <c r="B227" s="19" t="s">
        <v>36</v>
      </c>
      <c r="C227" s="19" t="s">
        <v>25</v>
      </c>
      <c r="D227" s="19" t="s">
        <v>53</v>
      </c>
      <c r="E227" s="19" t="s">
        <v>515</v>
      </c>
      <c r="F227" s="19" t="s">
        <v>516</v>
      </c>
      <c r="G227" s="19" t="s">
        <v>59</v>
      </c>
      <c r="H227" s="19">
        <v>18</v>
      </c>
      <c r="I227" s="19">
        <v>155</v>
      </c>
      <c r="J227" s="19" t="str">
        <f t="shared" si="3"/>
        <v>Jan</v>
      </c>
      <c r="K227" s="19" t="str">
        <f>IF(I227&lt;=Calc!$B$2,"Yes","No")</f>
        <v>No</v>
      </c>
      <c r="L227" s="19">
        <f>IF(AND(OR(Dashboard!$W$6="All",C227=Dashboard!$W$6),OR(Dashboard!$W$7="All",D227=Dashboard!$W$7)),1,0)</f>
        <v>1</v>
      </c>
      <c r="M227" s="19">
        <f>L227*IF(OR(Dashboard!$W$8="All",J227=Dashboard!$W$8),1,0)</f>
        <v>1</v>
      </c>
    </row>
    <row r="228" spans="1:13" x14ac:dyDescent="0.25">
      <c r="A228" s="23">
        <v>46048.563495370399</v>
      </c>
      <c r="B228" s="19" t="s">
        <v>30</v>
      </c>
      <c r="C228" s="19" t="s">
        <v>25</v>
      </c>
      <c r="D228" s="19" t="s">
        <v>69</v>
      </c>
      <c r="E228" s="19" t="s">
        <v>517</v>
      </c>
      <c r="F228" s="19" t="s">
        <v>518</v>
      </c>
      <c r="G228" s="19" t="s">
        <v>93</v>
      </c>
      <c r="H228" s="19">
        <v>22</v>
      </c>
      <c r="I228" s="19">
        <v>165</v>
      </c>
      <c r="J228" s="19" t="str">
        <f t="shared" si="3"/>
        <v>Jan</v>
      </c>
      <c r="K228" s="19" t="str">
        <f>IF(I228&lt;=Calc!$B$2,"Yes","No")</f>
        <v>No</v>
      </c>
      <c r="L228" s="19">
        <f>IF(AND(OR(Dashboard!$W$6="All",C228=Dashboard!$W$6),OR(Dashboard!$W$7="All",D228=Dashboard!$W$7)),1,0)</f>
        <v>1</v>
      </c>
      <c r="M228" s="19">
        <f>L228*IF(OR(Dashboard!$W$8="All",J228=Dashboard!$W$8),1,0)</f>
        <v>1</v>
      </c>
    </row>
    <row r="229" spans="1:13" x14ac:dyDescent="0.25">
      <c r="A229" s="23">
        <v>46048.568715277797</v>
      </c>
      <c r="B229" s="19" t="s">
        <v>26</v>
      </c>
      <c r="C229" s="19" t="s">
        <v>25</v>
      </c>
      <c r="D229" s="19" t="s">
        <v>73</v>
      </c>
      <c r="E229" s="19" t="s">
        <v>519</v>
      </c>
      <c r="F229" s="19" t="s">
        <v>520</v>
      </c>
      <c r="G229" s="19" t="s">
        <v>100</v>
      </c>
      <c r="H229" s="19">
        <v>28</v>
      </c>
      <c r="I229" s="19">
        <v>147</v>
      </c>
      <c r="J229" s="19" t="str">
        <f t="shared" si="3"/>
        <v>Jan</v>
      </c>
      <c r="K229" s="19" t="str">
        <f>IF(I229&lt;=Calc!$B$2,"Yes","No")</f>
        <v>No</v>
      </c>
      <c r="L229" s="19">
        <f>IF(AND(OR(Dashboard!$W$6="All",C229=Dashboard!$W$6),OR(Dashboard!$W$7="All",D229=Dashboard!$W$7)),1,0)</f>
        <v>1</v>
      </c>
      <c r="M229" s="19">
        <f>L229*IF(OR(Dashboard!$W$8="All",J229=Dashboard!$W$8),1,0)</f>
        <v>1</v>
      </c>
    </row>
    <row r="230" spans="1:13" x14ac:dyDescent="0.25">
      <c r="A230" s="23">
        <v>46048.630289351902</v>
      </c>
      <c r="B230" s="19" t="s">
        <v>33</v>
      </c>
      <c r="C230" s="19" t="s">
        <v>25</v>
      </c>
      <c r="D230" s="19" t="s">
        <v>53</v>
      </c>
      <c r="E230" s="19" t="s">
        <v>521</v>
      </c>
      <c r="F230" s="19" t="s">
        <v>522</v>
      </c>
      <c r="G230" s="19" t="s">
        <v>68</v>
      </c>
      <c r="H230" s="19">
        <v>28</v>
      </c>
      <c r="I230" s="19">
        <v>128</v>
      </c>
      <c r="J230" s="19" t="str">
        <f t="shared" si="3"/>
        <v>Jan</v>
      </c>
      <c r="K230" s="19" t="str">
        <f>IF(I230&lt;=Calc!$B$2,"Yes","No")</f>
        <v>No</v>
      </c>
      <c r="L230" s="19">
        <f>IF(AND(OR(Dashboard!$W$6="All",C230=Dashboard!$W$6),OR(Dashboard!$W$7="All",D230=Dashboard!$W$7)),1,0)</f>
        <v>1</v>
      </c>
      <c r="M230" s="19">
        <f>L230*IF(OR(Dashboard!$W$8="All",J230=Dashboard!$W$8),1,0)</f>
        <v>1</v>
      </c>
    </row>
    <row r="231" spans="1:13" x14ac:dyDescent="0.25">
      <c r="A231" s="23">
        <v>46048.676377314798</v>
      </c>
      <c r="B231" s="19" t="s">
        <v>36</v>
      </c>
      <c r="C231" s="19" t="s">
        <v>31</v>
      </c>
      <c r="D231" s="19" t="s">
        <v>73</v>
      </c>
      <c r="E231" s="19" t="s">
        <v>523</v>
      </c>
      <c r="F231" s="19" t="s">
        <v>524</v>
      </c>
      <c r="G231" s="19" t="s">
        <v>59</v>
      </c>
      <c r="H231" s="19">
        <v>23</v>
      </c>
      <c r="I231" s="19">
        <v>99</v>
      </c>
      <c r="J231" s="19" t="str">
        <f t="shared" si="3"/>
        <v>Jan</v>
      </c>
      <c r="K231" s="19" t="str">
        <f>IF(I231&lt;=Calc!$B$2,"Yes","No")</f>
        <v>No</v>
      </c>
      <c r="L231" s="19">
        <f>IF(AND(OR(Dashboard!$W$6="All",C231=Dashboard!$W$6),OR(Dashboard!$W$7="All",D231=Dashboard!$W$7)),1,0)</f>
        <v>1</v>
      </c>
      <c r="M231" s="19">
        <f>L231*IF(OR(Dashboard!$W$8="All",J231=Dashboard!$W$8),1,0)</f>
        <v>1</v>
      </c>
    </row>
    <row r="232" spans="1:13" x14ac:dyDescent="0.25">
      <c r="A232" s="23">
        <v>46048.9209722222</v>
      </c>
      <c r="B232" s="19" t="s">
        <v>36</v>
      </c>
      <c r="C232" s="19" t="s">
        <v>25</v>
      </c>
      <c r="D232" s="19" t="s">
        <v>73</v>
      </c>
      <c r="E232" s="19" t="s">
        <v>525</v>
      </c>
      <c r="F232" s="19" t="s">
        <v>526</v>
      </c>
      <c r="G232" s="19" t="s">
        <v>59</v>
      </c>
      <c r="H232" s="19">
        <v>34</v>
      </c>
      <c r="I232" s="19">
        <v>177</v>
      </c>
      <c r="J232" s="19" t="str">
        <f t="shared" si="3"/>
        <v>Jan</v>
      </c>
      <c r="K232" s="19" t="str">
        <f>IF(I232&lt;=Calc!$B$2,"Yes","No")</f>
        <v>No</v>
      </c>
      <c r="L232" s="19">
        <f>IF(AND(OR(Dashboard!$W$6="All",C232=Dashboard!$W$6),OR(Dashboard!$W$7="All",D232=Dashboard!$W$7)),1,0)</f>
        <v>1</v>
      </c>
      <c r="M232" s="19">
        <f>L232*IF(OR(Dashboard!$W$8="All",J232=Dashboard!$W$8),1,0)</f>
        <v>1</v>
      </c>
    </row>
    <row r="233" spans="1:13" x14ac:dyDescent="0.25">
      <c r="A233" s="23">
        <v>46048.966597222199</v>
      </c>
      <c r="B233" s="19" t="s">
        <v>28</v>
      </c>
      <c r="C233" s="19" t="s">
        <v>27</v>
      </c>
      <c r="D233" s="19" t="s">
        <v>65</v>
      </c>
      <c r="E233" s="19" t="s">
        <v>527</v>
      </c>
      <c r="F233" s="19" t="s">
        <v>528</v>
      </c>
      <c r="G233" s="19" t="s">
        <v>90</v>
      </c>
      <c r="H233" s="19">
        <v>3</v>
      </c>
      <c r="I233" s="19">
        <v>35</v>
      </c>
      <c r="J233" s="19" t="str">
        <f t="shared" si="3"/>
        <v>Jan</v>
      </c>
      <c r="K233" s="19" t="str">
        <f>IF(I233&lt;=Calc!$B$2,"Yes","No")</f>
        <v>Yes</v>
      </c>
      <c r="L233" s="19">
        <f>IF(AND(OR(Dashboard!$W$6="All",C233=Dashboard!$W$6),OR(Dashboard!$W$7="All",D233=Dashboard!$W$7)),1,0)</f>
        <v>1</v>
      </c>
      <c r="M233" s="19">
        <f>L233*IF(OR(Dashboard!$W$8="All",J233=Dashboard!$W$8),1,0)</f>
        <v>1</v>
      </c>
    </row>
    <row r="234" spans="1:13" x14ac:dyDescent="0.25">
      <c r="A234" s="23">
        <v>46049.050254629597</v>
      </c>
      <c r="B234" s="19" t="s">
        <v>34</v>
      </c>
      <c r="C234" s="19" t="s">
        <v>27</v>
      </c>
      <c r="D234" s="19" t="s">
        <v>53</v>
      </c>
      <c r="E234" s="19" t="s">
        <v>529</v>
      </c>
      <c r="F234" s="19" t="s">
        <v>530</v>
      </c>
      <c r="G234" s="19" t="s">
        <v>56</v>
      </c>
      <c r="H234" s="19">
        <v>4</v>
      </c>
      <c r="I234" s="19">
        <v>120</v>
      </c>
      <c r="J234" s="19" t="str">
        <f t="shared" si="3"/>
        <v>Jan</v>
      </c>
      <c r="K234" s="19" t="str">
        <f>IF(I234&lt;=Calc!$B$2,"Yes","No")</f>
        <v>No</v>
      </c>
      <c r="L234" s="19">
        <f>IF(AND(OR(Dashboard!$W$6="All",C234=Dashboard!$W$6),OR(Dashboard!$W$7="All",D234=Dashboard!$W$7)),1,0)</f>
        <v>1</v>
      </c>
      <c r="M234" s="19">
        <f>L234*IF(OR(Dashboard!$W$8="All",J234=Dashboard!$W$8),1,0)</f>
        <v>1</v>
      </c>
    </row>
    <row r="235" spans="1:13" x14ac:dyDescent="0.25">
      <c r="A235" s="23">
        <v>46049.089837963002</v>
      </c>
      <c r="B235" s="19" t="s">
        <v>28</v>
      </c>
      <c r="C235" s="19" t="s">
        <v>27</v>
      </c>
      <c r="D235" s="19" t="s">
        <v>69</v>
      </c>
      <c r="E235" s="19" t="s">
        <v>531</v>
      </c>
      <c r="F235" s="19" t="s">
        <v>532</v>
      </c>
      <c r="G235" s="19" t="s">
        <v>90</v>
      </c>
      <c r="H235" s="19">
        <v>1</v>
      </c>
      <c r="I235" s="19">
        <v>63</v>
      </c>
      <c r="J235" s="19" t="str">
        <f t="shared" si="3"/>
        <v>Jan</v>
      </c>
      <c r="K235" s="19" t="str">
        <f>IF(I235&lt;=Calc!$B$2,"Yes","No")</f>
        <v>No</v>
      </c>
      <c r="L235" s="19">
        <f>IF(AND(OR(Dashboard!$W$6="All",C235=Dashboard!$W$6),OR(Dashboard!$W$7="All",D235=Dashboard!$W$7)),1,0)</f>
        <v>1</v>
      </c>
      <c r="M235" s="19">
        <f>L235*IF(OR(Dashboard!$W$8="All",J235=Dashboard!$W$8),1,0)</f>
        <v>1</v>
      </c>
    </row>
    <row r="236" spans="1:13" x14ac:dyDescent="0.25">
      <c r="A236" s="23">
        <v>46049.550092592603</v>
      </c>
      <c r="B236" s="19" t="s">
        <v>33</v>
      </c>
      <c r="C236" s="19" t="s">
        <v>27</v>
      </c>
      <c r="D236" s="19" t="s">
        <v>69</v>
      </c>
      <c r="E236" s="19" t="s">
        <v>533</v>
      </c>
      <c r="F236" s="19" t="s">
        <v>534</v>
      </c>
      <c r="G236" s="19" t="s">
        <v>68</v>
      </c>
      <c r="H236" s="19">
        <v>11</v>
      </c>
      <c r="I236" s="19">
        <v>96</v>
      </c>
      <c r="J236" s="19" t="str">
        <f t="shared" si="3"/>
        <v>Jan</v>
      </c>
      <c r="K236" s="19" t="str">
        <f>IF(I236&lt;=Calc!$B$2,"Yes","No")</f>
        <v>No</v>
      </c>
      <c r="L236" s="19">
        <f>IF(AND(OR(Dashboard!$W$6="All",C236=Dashboard!$W$6),OR(Dashboard!$W$7="All",D236=Dashboard!$W$7)),1,0)</f>
        <v>1</v>
      </c>
      <c r="M236" s="19">
        <f>L236*IF(OR(Dashboard!$W$8="All",J236=Dashboard!$W$8),1,0)</f>
        <v>1</v>
      </c>
    </row>
    <row r="237" spans="1:13" x14ac:dyDescent="0.25">
      <c r="A237" s="23">
        <v>46049.604641203703</v>
      </c>
      <c r="B237" s="19" t="s">
        <v>28</v>
      </c>
      <c r="C237" s="19" t="s">
        <v>31</v>
      </c>
      <c r="D237" s="19" t="s">
        <v>53</v>
      </c>
      <c r="E237" s="19" t="s">
        <v>535</v>
      </c>
      <c r="F237" s="19" t="s">
        <v>536</v>
      </c>
      <c r="G237" s="19" t="s">
        <v>90</v>
      </c>
      <c r="H237" s="19">
        <v>21</v>
      </c>
      <c r="I237" s="19">
        <v>63</v>
      </c>
      <c r="J237" s="19" t="str">
        <f t="shared" si="3"/>
        <v>Jan</v>
      </c>
      <c r="K237" s="19" t="str">
        <f>IF(I237&lt;=Calc!$B$2,"Yes","No")</f>
        <v>No</v>
      </c>
      <c r="L237" s="19">
        <f>IF(AND(OR(Dashboard!$W$6="All",C237=Dashboard!$W$6),OR(Dashboard!$W$7="All",D237=Dashboard!$W$7)),1,0)</f>
        <v>1</v>
      </c>
      <c r="M237" s="19">
        <f>L237*IF(OR(Dashboard!$W$8="All",J237=Dashboard!$W$8),1,0)</f>
        <v>1</v>
      </c>
    </row>
    <row r="238" spans="1:13" x14ac:dyDescent="0.25">
      <c r="A238" s="23">
        <v>46049.668159722198</v>
      </c>
      <c r="B238" s="19" t="s">
        <v>26</v>
      </c>
      <c r="C238" s="19" t="s">
        <v>29</v>
      </c>
      <c r="D238" s="19" t="s">
        <v>65</v>
      </c>
      <c r="E238" s="19" t="s">
        <v>537</v>
      </c>
      <c r="F238" s="19" t="s">
        <v>538</v>
      </c>
      <c r="G238" s="19" t="s">
        <v>100</v>
      </c>
      <c r="H238" s="19">
        <v>16</v>
      </c>
      <c r="I238" s="19">
        <v>144</v>
      </c>
      <c r="J238" s="19" t="str">
        <f t="shared" si="3"/>
        <v>Jan</v>
      </c>
      <c r="K238" s="19" t="str">
        <f>IF(I238&lt;=Calc!$B$2,"Yes","No")</f>
        <v>No</v>
      </c>
      <c r="L238" s="19">
        <f>IF(AND(OR(Dashboard!$W$6="All",C238=Dashboard!$W$6),OR(Dashboard!$W$7="All",D238=Dashboard!$W$7)),1,0)</f>
        <v>1</v>
      </c>
      <c r="M238" s="19">
        <f>L238*IF(OR(Dashboard!$W$8="All",J238=Dashboard!$W$8),1,0)</f>
        <v>1</v>
      </c>
    </row>
    <row r="239" spans="1:13" x14ac:dyDescent="0.25">
      <c r="A239" s="23">
        <v>46049.674675925897</v>
      </c>
      <c r="B239" s="19" t="s">
        <v>32</v>
      </c>
      <c r="C239" s="19" t="s">
        <v>29</v>
      </c>
      <c r="D239" s="19" t="s">
        <v>69</v>
      </c>
      <c r="E239" s="19" t="s">
        <v>539</v>
      </c>
      <c r="F239" s="19" t="s">
        <v>540</v>
      </c>
      <c r="G239" s="19" t="s">
        <v>72</v>
      </c>
      <c r="H239" s="19">
        <v>42</v>
      </c>
      <c r="I239" s="19">
        <v>164</v>
      </c>
      <c r="J239" s="19" t="str">
        <f t="shared" si="3"/>
        <v>Jan</v>
      </c>
      <c r="K239" s="19" t="str">
        <f>IF(I239&lt;=Calc!$B$2,"Yes","No")</f>
        <v>No</v>
      </c>
      <c r="L239" s="19">
        <f>IF(AND(OR(Dashboard!$W$6="All",C239=Dashboard!$W$6),OR(Dashboard!$W$7="All",D239=Dashboard!$W$7)),1,0)</f>
        <v>1</v>
      </c>
      <c r="M239" s="19">
        <f>L239*IF(OR(Dashboard!$W$8="All",J239=Dashboard!$W$8),1,0)</f>
        <v>1</v>
      </c>
    </row>
    <row r="240" spans="1:13" x14ac:dyDescent="0.25">
      <c r="A240" s="23">
        <v>46049.736597222203</v>
      </c>
      <c r="B240" s="19" t="s">
        <v>34</v>
      </c>
      <c r="C240" s="19" t="s">
        <v>25</v>
      </c>
      <c r="D240" s="19" t="s">
        <v>73</v>
      </c>
      <c r="E240" s="19" t="s">
        <v>541</v>
      </c>
      <c r="F240" s="19" t="s">
        <v>542</v>
      </c>
      <c r="G240" s="19" t="s">
        <v>56</v>
      </c>
      <c r="H240" s="19">
        <v>26</v>
      </c>
      <c r="I240" s="19">
        <v>100</v>
      </c>
      <c r="J240" s="19" t="str">
        <f t="shared" si="3"/>
        <v>Jan</v>
      </c>
      <c r="K240" s="19" t="str">
        <f>IF(I240&lt;=Calc!$B$2,"Yes","No")</f>
        <v>No</v>
      </c>
      <c r="L240" s="19">
        <f>IF(AND(OR(Dashboard!$W$6="All",C240=Dashboard!$W$6),OR(Dashboard!$W$7="All",D240=Dashboard!$W$7)),1,0)</f>
        <v>1</v>
      </c>
      <c r="M240" s="19">
        <f>L240*IF(OR(Dashboard!$W$8="All",J240=Dashboard!$W$8),1,0)</f>
        <v>1</v>
      </c>
    </row>
    <row r="241" spans="1:13" x14ac:dyDescent="0.25">
      <c r="A241" s="23">
        <v>46049.843854166698</v>
      </c>
      <c r="B241" s="19" t="s">
        <v>33</v>
      </c>
      <c r="C241" s="19" t="s">
        <v>25</v>
      </c>
      <c r="D241" s="19" t="s">
        <v>65</v>
      </c>
      <c r="E241" s="19" t="s">
        <v>543</v>
      </c>
      <c r="F241" s="19" t="s">
        <v>544</v>
      </c>
      <c r="G241" s="19" t="s">
        <v>68</v>
      </c>
      <c r="H241" s="19">
        <v>21</v>
      </c>
      <c r="I241" s="19">
        <v>144</v>
      </c>
      <c r="J241" s="19" t="str">
        <f t="shared" si="3"/>
        <v>Jan</v>
      </c>
      <c r="K241" s="19" t="str">
        <f>IF(I241&lt;=Calc!$B$2,"Yes","No")</f>
        <v>No</v>
      </c>
      <c r="L241" s="19">
        <f>IF(AND(OR(Dashboard!$W$6="All",C241=Dashboard!$W$6),OR(Dashboard!$W$7="All",D241=Dashboard!$W$7)),1,0)</f>
        <v>1</v>
      </c>
      <c r="M241" s="19">
        <f>L241*IF(OR(Dashboard!$W$8="All",J241=Dashboard!$W$8),1,0)</f>
        <v>1</v>
      </c>
    </row>
    <row r="242" spans="1:13" x14ac:dyDescent="0.25">
      <c r="A242" s="23">
        <v>46049.845439814802</v>
      </c>
      <c r="B242" s="19" t="s">
        <v>35</v>
      </c>
      <c r="C242" s="19" t="s">
        <v>27</v>
      </c>
      <c r="D242" s="19" t="s">
        <v>53</v>
      </c>
      <c r="E242" s="19" t="s">
        <v>545</v>
      </c>
      <c r="F242" s="19" t="s">
        <v>546</v>
      </c>
      <c r="G242" s="19" t="s">
        <v>64</v>
      </c>
      <c r="H242" s="19">
        <v>20</v>
      </c>
      <c r="I242" s="19">
        <v>125</v>
      </c>
      <c r="J242" s="19" t="str">
        <f t="shared" si="3"/>
        <v>Jan</v>
      </c>
      <c r="K242" s="19" t="str">
        <f>IF(I242&lt;=Calc!$B$2,"Yes","No")</f>
        <v>No</v>
      </c>
      <c r="L242" s="19">
        <f>IF(AND(OR(Dashboard!$W$6="All",C242=Dashboard!$W$6),OR(Dashboard!$W$7="All",D242=Dashboard!$W$7)),1,0)</f>
        <v>1</v>
      </c>
      <c r="M242" s="19">
        <f>L242*IF(OR(Dashboard!$W$8="All",J242=Dashboard!$W$8),1,0)</f>
        <v>1</v>
      </c>
    </row>
    <row r="243" spans="1:13" x14ac:dyDescent="0.25">
      <c r="A243" s="23">
        <v>46050.006319444401</v>
      </c>
      <c r="B243" s="19" t="s">
        <v>33</v>
      </c>
      <c r="C243" s="19" t="s">
        <v>25</v>
      </c>
      <c r="D243" s="19" t="s">
        <v>53</v>
      </c>
      <c r="E243" s="19" t="s">
        <v>547</v>
      </c>
      <c r="F243" s="19" t="s">
        <v>548</v>
      </c>
      <c r="G243" s="19" t="s">
        <v>68</v>
      </c>
      <c r="H243" s="19">
        <v>15</v>
      </c>
      <c r="I243" s="19">
        <v>143</v>
      </c>
      <c r="J243" s="19" t="str">
        <f t="shared" si="3"/>
        <v>Jan</v>
      </c>
      <c r="K243" s="19" t="str">
        <f>IF(I243&lt;=Calc!$B$2,"Yes","No")</f>
        <v>No</v>
      </c>
      <c r="L243" s="19">
        <f>IF(AND(OR(Dashboard!$W$6="All",C243=Dashboard!$W$6),OR(Dashboard!$W$7="All",D243=Dashboard!$W$7)),1,0)</f>
        <v>1</v>
      </c>
      <c r="M243" s="19">
        <f>L243*IF(OR(Dashboard!$W$8="All",J243=Dashboard!$W$8),1,0)</f>
        <v>1</v>
      </c>
    </row>
    <row r="244" spans="1:13" x14ac:dyDescent="0.25">
      <c r="A244" s="23">
        <v>46050.160069444399</v>
      </c>
      <c r="B244" s="19" t="s">
        <v>36</v>
      </c>
      <c r="C244" s="19" t="s">
        <v>27</v>
      </c>
      <c r="D244" s="19" t="s">
        <v>69</v>
      </c>
      <c r="E244" s="19" t="s">
        <v>549</v>
      </c>
      <c r="F244" s="19" t="s">
        <v>550</v>
      </c>
      <c r="G244" s="19" t="s">
        <v>59</v>
      </c>
      <c r="H244" s="19">
        <v>1</v>
      </c>
      <c r="I244" s="19">
        <v>13</v>
      </c>
      <c r="J244" s="19" t="str">
        <f t="shared" si="3"/>
        <v>Jan</v>
      </c>
      <c r="K244" s="19" t="str">
        <f>IF(I244&lt;=Calc!$B$2,"Yes","No")</f>
        <v>Yes</v>
      </c>
      <c r="L244" s="19">
        <f>IF(AND(OR(Dashboard!$W$6="All",C244=Dashboard!$W$6),OR(Dashboard!$W$7="All",D244=Dashboard!$W$7)),1,0)</f>
        <v>1</v>
      </c>
      <c r="M244" s="19">
        <f>L244*IF(OR(Dashboard!$W$8="All",J244=Dashboard!$W$8),1,0)</f>
        <v>1</v>
      </c>
    </row>
    <row r="245" spans="1:13" x14ac:dyDescent="0.25">
      <c r="A245" s="23">
        <v>46050.275856481501</v>
      </c>
      <c r="B245" s="19" t="s">
        <v>36</v>
      </c>
      <c r="C245" s="19" t="s">
        <v>25</v>
      </c>
      <c r="D245" s="19" t="s">
        <v>65</v>
      </c>
      <c r="E245" s="19" t="s">
        <v>551</v>
      </c>
      <c r="F245" s="19" t="s">
        <v>552</v>
      </c>
      <c r="G245" s="19" t="s">
        <v>59</v>
      </c>
      <c r="H245" s="19">
        <v>27</v>
      </c>
      <c r="I245" s="19">
        <v>166</v>
      </c>
      <c r="J245" s="19" t="str">
        <f t="shared" si="3"/>
        <v>Jan</v>
      </c>
      <c r="K245" s="19" t="str">
        <f>IF(I245&lt;=Calc!$B$2,"Yes","No")</f>
        <v>No</v>
      </c>
      <c r="L245" s="19">
        <f>IF(AND(OR(Dashboard!$W$6="All",C245=Dashboard!$W$6),OR(Dashboard!$W$7="All",D245=Dashboard!$W$7)),1,0)</f>
        <v>1</v>
      </c>
      <c r="M245" s="19">
        <f>L245*IF(OR(Dashboard!$W$8="All",J245=Dashboard!$W$8),1,0)</f>
        <v>1</v>
      </c>
    </row>
    <row r="246" spans="1:13" x14ac:dyDescent="0.25">
      <c r="A246" s="23">
        <v>46050.4481018519</v>
      </c>
      <c r="B246" s="19" t="s">
        <v>30</v>
      </c>
      <c r="C246" s="19" t="s">
        <v>25</v>
      </c>
      <c r="D246" s="19" t="s">
        <v>65</v>
      </c>
      <c r="E246" s="19" t="s">
        <v>553</v>
      </c>
      <c r="F246" s="19" t="s">
        <v>554</v>
      </c>
      <c r="G246" s="19" t="s">
        <v>93</v>
      </c>
      <c r="H246" s="19">
        <v>16</v>
      </c>
      <c r="I246" s="19">
        <v>132</v>
      </c>
      <c r="J246" s="19" t="str">
        <f t="shared" si="3"/>
        <v>Jan</v>
      </c>
      <c r="K246" s="19" t="str">
        <f>IF(I246&lt;=Calc!$B$2,"Yes","No")</f>
        <v>No</v>
      </c>
      <c r="L246" s="19">
        <f>IF(AND(OR(Dashboard!$W$6="All",C246=Dashboard!$W$6),OR(Dashboard!$W$7="All",D246=Dashboard!$W$7)),1,0)</f>
        <v>1</v>
      </c>
      <c r="M246" s="19">
        <f>L246*IF(OR(Dashboard!$W$8="All",J246=Dashboard!$W$8),1,0)</f>
        <v>1</v>
      </c>
    </row>
    <row r="247" spans="1:13" x14ac:dyDescent="0.25">
      <c r="A247" s="23">
        <v>46050.449224536998</v>
      </c>
      <c r="B247" s="19" t="s">
        <v>34</v>
      </c>
      <c r="C247" s="19" t="s">
        <v>25</v>
      </c>
      <c r="D247" s="19" t="s">
        <v>69</v>
      </c>
      <c r="E247" s="19" t="s">
        <v>555</v>
      </c>
      <c r="F247" s="19" t="s">
        <v>556</v>
      </c>
      <c r="G247" s="19" t="s">
        <v>56</v>
      </c>
      <c r="H247" s="19">
        <v>28</v>
      </c>
      <c r="I247" s="19">
        <v>169</v>
      </c>
      <c r="J247" s="19" t="str">
        <f t="shared" si="3"/>
        <v>Jan</v>
      </c>
      <c r="K247" s="19" t="str">
        <f>IF(I247&lt;=Calc!$B$2,"Yes","No")</f>
        <v>No</v>
      </c>
      <c r="L247" s="19">
        <f>IF(AND(OR(Dashboard!$W$6="All",C247=Dashboard!$W$6),OR(Dashboard!$W$7="All",D247=Dashboard!$W$7)),1,0)</f>
        <v>1</v>
      </c>
      <c r="M247" s="19">
        <f>L247*IF(OR(Dashboard!$W$8="All",J247=Dashboard!$W$8),1,0)</f>
        <v>1</v>
      </c>
    </row>
    <row r="248" spans="1:13" x14ac:dyDescent="0.25">
      <c r="A248" s="23">
        <v>46050.489097222198</v>
      </c>
      <c r="B248" s="19" t="s">
        <v>36</v>
      </c>
      <c r="C248" s="19" t="s">
        <v>29</v>
      </c>
      <c r="D248" s="19" t="s">
        <v>69</v>
      </c>
      <c r="E248" s="19" t="s">
        <v>557</v>
      </c>
      <c r="F248" s="19" t="s">
        <v>558</v>
      </c>
      <c r="G248" s="19" t="s">
        <v>59</v>
      </c>
      <c r="H248" s="19">
        <v>30</v>
      </c>
      <c r="I248" s="19">
        <v>132</v>
      </c>
      <c r="J248" s="19" t="str">
        <f t="shared" si="3"/>
        <v>Jan</v>
      </c>
      <c r="K248" s="19" t="str">
        <f>IF(I248&lt;=Calc!$B$2,"Yes","No")</f>
        <v>No</v>
      </c>
      <c r="L248" s="19">
        <f>IF(AND(OR(Dashboard!$W$6="All",C248=Dashboard!$W$6),OR(Dashboard!$W$7="All",D248=Dashboard!$W$7)),1,0)</f>
        <v>1</v>
      </c>
      <c r="M248" s="19">
        <f>L248*IF(OR(Dashboard!$W$8="All",J248=Dashboard!$W$8),1,0)</f>
        <v>1</v>
      </c>
    </row>
    <row r="249" spans="1:13" x14ac:dyDescent="0.25">
      <c r="A249" s="23">
        <v>46050.520706018498</v>
      </c>
      <c r="B249" s="19" t="s">
        <v>36</v>
      </c>
      <c r="C249" s="19" t="s">
        <v>25</v>
      </c>
      <c r="D249" s="19" t="s">
        <v>65</v>
      </c>
      <c r="E249" s="19" t="s">
        <v>559</v>
      </c>
      <c r="F249" s="19" t="s">
        <v>560</v>
      </c>
      <c r="G249" s="19" t="s">
        <v>59</v>
      </c>
      <c r="H249" s="19">
        <v>41</v>
      </c>
      <c r="I249" s="19">
        <v>127</v>
      </c>
      <c r="J249" s="19" t="str">
        <f t="shared" si="3"/>
        <v>Jan</v>
      </c>
      <c r="K249" s="19" t="str">
        <f>IF(I249&lt;=Calc!$B$2,"Yes","No")</f>
        <v>No</v>
      </c>
      <c r="L249" s="19">
        <f>IF(AND(OR(Dashboard!$W$6="All",C249=Dashboard!$W$6),OR(Dashboard!$W$7="All",D249=Dashboard!$W$7)),1,0)</f>
        <v>1</v>
      </c>
      <c r="M249" s="19">
        <f>L249*IF(OR(Dashboard!$W$8="All",J249=Dashboard!$W$8),1,0)</f>
        <v>1</v>
      </c>
    </row>
    <row r="250" spans="1:13" x14ac:dyDescent="0.25">
      <c r="A250" s="23">
        <v>46050.853217592601</v>
      </c>
      <c r="B250" s="19" t="s">
        <v>26</v>
      </c>
      <c r="C250" s="19" t="s">
        <v>31</v>
      </c>
      <c r="D250" s="19" t="s">
        <v>73</v>
      </c>
      <c r="E250" s="19" t="s">
        <v>561</v>
      </c>
      <c r="F250" s="19" t="s">
        <v>562</v>
      </c>
      <c r="G250" s="19" t="s">
        <v>100</v>
      </c>
      <c r="H250" s="19">
        <v>16</v>
      </c>
      <c r="I250" s="19">
        <v>60</v>
      </c>
      <c r="J250" s="19" t="str">
        <f t="shared" si="3"/>
        <v>Jan</v>
      </c>
      <c r="K250" s="19" t="str">
        <f>IF(I250&lt;=Calc!$B$2,"Yes","No")</f>
        <v>Yes</v>
      </c>
      <c r="L250" s="19">
        <f>IF(AND(OR(Dashboard!$W$6="All",C250=Dashboard!$W$6),OR(Dashboard!$W$7="All",D250=Dashboard!$W$7)),1,0)</f>
        <v>1</v>
      </c>
      <c r="M250" s="19">
        <f>L250*IF(OR(Dashboard!$W$8="All",J250=Dashboard!$W$8),1,0)</f>
        <v>1</v>
      </c>
    </row>
    <row r="251" spans="1:13" x14ac:dyDescent="0.25">
      <c r="A251" s="23">
        <v>46051.096782407403</v>
      </c>
      <c r="B251" s="19" t="s">
        <v>26</v>
      </c>
      <c r="C251" s="19" t="s">
        <v>25</v>
      </c>
      <c r="D251" s="19" t="s">
        <v>65</v>
      </c>
      <c r="E251" s="19" t="s">
        <v>563</v>
      </c>
      <c r="F251" s="19" t="s">
        <v>564</v>
      </c>
      <c r="G251" s="19" t="s">
        <v>100</v>
      </c>
      <c r="H251" s="19">
        <v>36</v>
      </c>
      <c r="I251" s="19">
        <v>162</v>
      </c>
      <c r="J251" s="19" t="str">
        <f t="shared" si="3"/>
        <v>Jan</v>
      </c>
      <c r="K251" s="19" t="str">
        <f>IF(I251&lt;=Calc!$B$2,"Yes","No")</f>
        <v>No</v>
      </c>
      <c r="L251" s="19">
        <f>IF(AND(OR(Dashboard!$W$6="All",C251=Dashboard!$W$6),OR(Dashboard!$W$7="All",D251=Dashboard!$W$7)),1,0)</f>
        <v>1</v>
      </c>
      <c r="M251" s="19">
        <f>L251*IF(OR(Dashboard!$W$8="All",J251=Dashboard!$W$8),1,0)</f>
        <v>1</v>
      </c>
    </row>
    <row r="252" spans="1:13" x14ac:dyDescent="0.25">
      <c r="A252" s="23">
        <v>46051.253206018497</v>
      </c>
      <c r="B252" s="19" t="s">
        <v>30</v>
      </c>
      <c r="C252" s="19" t="s">
        <v>25</v>
      </c>
      <c r="D252" s="19" t="s">
        <v>53</v>
      </c>
      <c r="E252" s="19" t="s">
        <v>565</v>
      </c>
      <c r="F252" s="19" t="s">
        <v>566</v>
      </c>
      <c r="G252" s="19" t="s">
        <v>93</v>
      </c>
      <c r="H252" s="19">
        <v>40</v>
      </c>
      <c r="I252" s="19">
        <v>134</v>
      </c>
      <c r="J252" s="19" t="str">
        <f t="shared" si="3"/>
        <v>Jan</v>
      </c>
      <c r="K252" s="19" t="str">
        <f>IF(I252&lt;=Calc!$B$2,"Yes","No")</f>
        <v>No</v>
      </c>
      <c r="L252" s="19">
        <f>IF(AND(OR(Dashboard!$W$6="All",C252=Dashboard!$W$6),OR(Dashboard!$W$7="All",D252=Dashboard!$W$7)),1,0)</f>
        <v>1</v>
      </c>
      <c r="M252" s="19">
        <f>L252*IF(OR(Dashboard!$W$8="All",J252=Dashboard!$W$8),1,0)</f>
        <v>1</v>
      </c>
    </row>
    <row r="253" spans="1:13" x14ac:dyDescent="0.25">
      <c r="A253" s="23">
        <v>46051.348784722199</v>
      </c>
      <c r="B253" s="19" t="s">
        <v>32</v>
      </c>
      <c r="C253" s="19" t="s">
        <v>29</v>
      </c>
      <c r="D253" s="19" t="s">
        <v>53</v>
      </c>
      <c r="E253" s="19" t="s">
        <v>567</v>
      </c>
      <c r="F253" s="19" t="s">
        <v>568</v>
      </c>
      <c r="G253" s="19" t="s">
        <v>72</v>
      </c>
      <c r="H253" s="19">
        <v>39</v>
      </c>
      <c r="I253" s="19">
        <v>159</v>
      </c>
      <c r="J253" s="19" t="str">
        <f t="shared" si="3"/>
        <v>Jan</v>
      </c>
      <c r="K253" s="19" t="str">
        <f>IF(I253&lt;=Calc!$B$2,"Yes","No")</f>
        <v>No</v>
      </c>
      <c r="L253" s="19">
        <f>IF(AND(OR(Dashboard!$W$6="All",C253=Dashboard!$W$6),OR(Dashboard!$W$7="All",D253=Dashboard!$W$7)),1,0)</f>
        <v>1</v>
      </c>
      <c r="M253" s="19">
        <f>L253*IF(OR(Dashboard!$W$8="All",J253=Dashboard!$W$8),1,0)</f>
        <v>1</v>
      </c>
    </row>
    <row r="254" spans="1:13" x14ac:dyDescent="0.25">
      <c r="A254" s="23">
        <v>46051.561817129601</v>
      </c>
      <c r="B254" s="19" t="s">
        <v>26</v>
      </c>
      <c r="C254" s="19" t="s">
        <v>27</v>
      </c>
      <c r="D254" s="19" t="s">
        <v>53</v>
      </c>
      <c r="E254" s="19" t="s">
        <v>569</v>
      </c>
      <c r="F254" s="19" t="s">
        <v>570</v>
      </c>
      <c r="G254" s="19" t="s">
        <v>100</v>
      </c>
      <c r="H254" s="19">
        <v>19</v>
      </c>
      <c r="I254" s="19">
        <v>24</v>
      </c>
      <c r="J254" s="19" t="str">
        <f t="shared" si="3"/>
        <v>Jan</v>
      </c>
      <c r="K254" s="19" t="str">
        <f>IF(I254&lt;=Calc!$B$2,"Yes","No")</f>
        <v>Yes</v>
      </c>
      <c r="L254" s="19">
        <f>IF(AND(OR(Dashboard!$W$6="All",C254=Dashboard!$W$6),OR(Dashboard!$W$7="All",D254=Dashboard!$W$7)),1,0)</f>
        <v>1</v>
      </c>
      <c r="M254" s="19">
        <f>L254*IF(OR(Dashboard!$W$8="All",J254=Dashboard!$W$8),1,0)</f>
        <v>1</v>
      </c>
    </row>
    <row r="255" spans="1:13" x14ac:dyDescent="0.25">
      <c r="A255" s="23">
        <v>46051.631724537001</v>
      </c>
      <c r="B255" s="19" t="s">
        <v>30</v>
      </c>
      <c r="C255" s="19" t="s">
        <v>25</v>
      </c>
      <c r="D255" s="19" t="s">
        <v>73</v>
      </c>
      <c r="E255" s="19" t="s">
        <v>571</v>
      </c>
      <c r="F255" s="19" t="s">
        <v>572</v>
      </c>
      <c r="G255" s="19" t="s">
        <v>93</v>
      </c>
      <c r="H255" s="19">
        <v>20</v>
      </c>
      <c r="I255" s="19">
        <v>167</v>
      </c>
      <c r="J255" s="19" t="str">
        <f t="shared" si="3"/>
        <v>Jan</v>
      </c>
      <c r="K255" s="19" t="str">
        <f>IF(I255&lt;=Calc!$B$2,"Yes","No")</f>
        <v>No</v>
      </c>
      <c r="L255" s="19">
        <f>IF(AND(OR(Dashboard!$W$6="All",C255=Dashboard!$W$6),OR(Dashboard!$W$7="All",D255=Dashboard!$W$7)),1,0)</f>
        <v>1</v>
      </c>
      <c r="M255" s="19">
        <f>L255*IF(OR(Dashboard!$W$8="All",J255=Dashboard!$W$8),1,0)</f>
        <v>1</v>
      </c>
    </row>
    <row r="256" spans="1:13" x14ac:dyDescent="0.25">
      <c r="A256" s="23">
        <v>46051.645300925898</v>
      </c>
      <c r="B256" s="19" t="s">
        <v>36</v>
      </c>
      <c r="C256" s="19" t="s">
        <v>27</v>
      </c>
      <c r="D256" s="19" t="s">
        <v>73</v>
      </c>
      <c r="E256" s="19" t="s">
        <v>573</v>
      </c>
      <c r="F256" s="19" t="s">
        <v>574</v>
      </c>
      <c r="G256" s="19" t="s">
        <v>59</v>
      </c>
      <c r="H256" s="19">
        <v>9</v>
      </c>
      <c r="I256" s="19">
        <v>29</v>
      </c>
      <c r="J256" s="19" t="str">
        <f t="shared" si="3"/>
        <v>Jan</v>
      </c>
      <c r="K256" s="19" t="str">
        <f>IF(I256&lt;=Calc!$B$2,"Yes","No")</f>
        <v>Yes</v>
      </c>
      <c r="L256" s="19">
        <f>IF(AND(OR(Dashboard!$W$6="All",C256=Dashboard!$W$6),OR(Dashboard!$W$7="All",D256=Dashboard!$W$7)),1,0)</f>
        <v>1</v>
      </c>
      <c r="M256" s="19">
        <f>L256*IF(OR(Dashboard!$W$8="All",J256=Dashboard!$W$8),1,0)</f>
        <v>1</v>
      </c>
    </row>
    <row r="257" spans="1:13" x14ac:dyDescent="0.25">
      <c r="A257" s="23">
        <v>46051.706967592603</v>
      </c>
      <c r="B257" s="19" t="s">
        <v>33</v>
      </c>
      <c r="C257" s="19" t="s">
        <v>27</v>
      </c>
      <c r="D257" s="19" t="s">
        <v>53</v>
      </c>
      <c r="E257" s="19" t="s">
        <v>575</v>
      </c>
      <c r="F257" s="19" t="s">
        <v>576</v>
      </c>
      <c r="G257" s="19" t="s">
        <v>68</v>
      </c>
      <c r="H257" s="19">
        <v>20</v>
      </c>
      <c r="I257" s="19">
        <v>87</v>
      </c>
      <c r="J257" s="19" t="str">
        <f t="shared" si="3"/>
        <v>Jan</v>
      </c>
      <c r="K257" s="19" t="str">
        <f>IF(I257&lt;=Calc!$B$2,"Yes","No")</f>
        <v>No</v>
      </c>
      <c r="L257" s="19">
        <f>IF(AND(OR(Dashboard!$W$6="All",C257=Dashboard!$W$6),OR(Dashboard!$W$7="All",D257=Dashboard!$W$7)),1,0)</f>
        <v>1</v>
      </c>
      <c r="M257" s="19">
        <f>L257*IF(OR(Dashboard!$W$8="All",J257=Dashboard!$W$8),1,0)</f>
        <v>1</v>
      </c>
    </row>
    <row r="258" spans="1:13" x14ac:dyDescent="0.25">
      <c r="A258" s="23">
        <v>46052.015659722201</v>
      </c>
      <c r="B258" s="19" t="s">
        <v>36</v>
      </c>
      <c r="C258" s="19" t="s">
        <v>31</v>
      </c>
      <c r="D258" s="19" t="s">
        <v>69</v>
      </c>
      <c r="E258" s="19" t="s">
        <v>577</v>
      </c>
      <c r="F258" s="19" t="s">
        <v>578</v>
      </c>
      <c r="G258" s="19" t="s">
        <v>59</v>
      </c>
      <c r="H258" s="19">
        <v>8</v>
      </c>
      <c r="I258" s="19">
        <v>58</v>
      </c>
      <c r="J258" s="19" t="str">
        <f t="shared" ref="J258:J321" si="4">CHOOSE(MONTH(A258),"Jan","Feb","Mar","Apr","May","Jun","Jul","Aug","Sep","Oct","Nov","Dec")</f>
        <v>Jan</v>
      </c>
      <c r="K258" s="19" t="str">
        <f>IF(I258&lt;=Calc!$B$2,"Yes","No")</f>
        <v>Yes</v>
      </c>
      <c r="L258" s="19">
        <f>IF(AND(OR(Dashboard!$W$6="All",C258=Dashboard!$W$6),OR(Dashboard!$W$7="All",D258=Dashboard!$W$7)),1,0)</f>
        <v>1</v>
      </c>
      <c r="M258" s="19">
        <f>L258*IF(OR(Dashboard!$W$8="All",J258=Dashboard!$W$8),1,0)</f>
        <v>1</v>
      </c>
    </row>
    <row r="259" spans="1:13" x14ac:dyDescent="0.25">
      <c r="A259" s="23">
        <v>46052.239224536999</v>
      </c>
      <c r="B259" s="19" t="s">
        <v>30</v>
      </c>
      <c r="C259" s="19" t="s">
        <v>29</v>
      </c>
      <c r="D259" s="19" t="s">
        <v>73</v>
      </c>
      <c r="E259" s="19" t="s">
        <v>579</v>
      </c>
      <c r="F259" s="19" t="s">
        <v>580</v>
      </c>
      <c r="G259" s="19" t="s">
        <v>93</v>
      </c>
      <c r="H259" s="19">
        <v>15</v>
      </c>
      <c r="I259" s="19">
        <v>105</v>
      </c>
      <c r="J259" s="19" t="str">
        <f t="shared" si="4"/>
        <v>Jan</v>
      </c>
      <c r="K259" s="19" t="str">
        <f>IF(I259&lt;=Calc!$B$2,"Yes","No")</f>
        <v>No</v>
      </c>
      <c r="L259" s="19">
        <f>IF(AND(OR(Dashboard!$W$6="All",C259=Dashboard!$W$6),OR(Dashboard!$W$7="All",D259=Dashboard!$W$7)),1,0)</f>
        <v>1</v>
      </c>
      <c r="M259" s="19">
        <f>L259*IF(OR(Dashboard!$W$8="All",J259=Dashboard!$W$8),1,0)</f>
        <v>1</v>
      </c>
    </row>
    <row r="260" spans="1:13" x14ac:dyDescent="0.25">
      <c r="A260" s="23">
        <v>46052.287245370397</v>
      </c>
      <c r="B260" s="19" t="s">
        <v>28</v>
      </c>
      <c r="C260" s="19" t="s">
        <v>25</v>
      </c>
      <c r="D260" s="19" t="s">
        <v>73</v>
      </c>
      <c r="E260" s="19" t="s">
        <v>581</v>
      </c>
      <c r="F260" s="19" t="s">
        <v>582</v>
      </c>
      <c r="G260" s="19" t="s">
        <v>90</v>
      </c>
      <c r="H260" s="19">
        <v>32</v>
      </c>
      <c r="I260" s="19">
        <v>106</v>
      </c>
      <c r="J260" s="19" t="str">
        <f t="shared" si="4"/>
        <v>Jan</v>
      </c>
      <c r="K260" s="19" t="str">
        <f>IF(I260&lt;=Calc!$B$2,"Yes","No")</f>
        <v>No</v>
      </c>
      <c r="L260" s="19">
        <f>IF(AND(OR(Dashboard!$W$6="All",C260=Dashboard!$W$6),OR(Dashboard!$W$7="All",D260=Dashboard!$W$7)),1,0)</f>
        <v>1</v>
      </c>
      <c r="M260" s="19">
        <f>L260*IF(OR(Dashboard!$W$8="All",J260=Dashboard!$W$8),1,0)</f>
        <v>1</v>
      </c>
    </row>
    <row r="261" spans="1:13" x14ac:dyDescent="0.25">
      <c r="A261" s="23">
        <v>46052.305914351899</v>
      </c>
      <c r="B261" s="19" t="s">
        <v>34</v>
      </c>
      <c r="C261" s="19" t="s">
        <v>27</v>
      </c>
      <c r="D261" s="19" t="s">
        <v>73</v>
      </c>
      <c r="E261" s="19" t="s">
        <v>583</v>
      </c>
      <c r="F261" s="19" t="s">
        <v>584</v>
      </c>
      <c r="G261" s="19" t="s">
        <v>56</v>
      </c>
      <c r="H261" s="19">
        <v>5</v>
      </c>
      <c r="I261" s="19">
        <v>44</v>
      </c>
      <c r="J261" s="19" t="str">
        <f t="shared" si="4"/>
        <v>Jan</v>
      </c>
      <c r="K261" s="19" t="str">
        <f>IF(I261&lt;=Calc!$B$2,"Yes","No")</f>
        <v>Yes</v>
      </c>
      <c r="L261" s="19">
        <f>IF(AND(OR(Dashboard!$W$6="All",C261=Dashboard!$W$6),OR(Dashboard!$W$7="All",D261=Dashboard!$W$7)),1,0)</f>
        <v>1</v>
      </c>
      <c r="M261" s="19">
        <f>L261*IF(OR(Dashboard!$W$8="All",J261=Dashboard!$W$8),1,0)</f>
        <v>1</v>
      </c>
    </row>
    <row r="262" spans="1:13" x14ac:dyDescent="0.25">
      <c r="A262" s="23">
        <v>46052.347268518497</v>
      </c>
      <c r="B262" s="19" t="s">
        <v>33</v>
      </c>
      <c r="C262" s="19" t="s">
        <v>31</v>
      </c>
      <c r="D262" s="19" t="s">
        <v>53</v>
      </c>
      <c r="E262" s="19" t="s">
        <v>585</v>
      </c>
      <c r="F262" s="19" t="s">
        <v>586</v>
      </c>
      <c r="G262" s="19" t="s">
        <v>68</v>
      </c>
      <c r="H262" s="19">
        <v>12</v>
      </c>
      <c r="I262" s="19">
        <v>99</v>
      </c>
      <c r="J262" s="19" t="str">
        <f t="shared" si="4"/>
        <v>Jan</v>
      </c>
      <c r="K262" s="19" t="str">
        <f>IF(I262&lt;=Calc!$B$2,"Yes","No")</f>
        <v>No</v>
      </c>
      <c r="L262" s="19">
        <f>IF(AND(OR(Dashboard!$W$6="All",C262=Dashboard!$W$6),OR(Dashboard!$W$7="All",D262=Dashboard!$W$7)),1,0)</f>
        <v>1</v>
      </c>
      <c r="M262" s="19">
        <f>L262*IF(OR(Dashboard!$W$8="All",J262=Dashboard!$W$8),1,0)</f>
        <v>1</v>
      </c>
    </row>
    <row r="263" spans="1:13" x14ac:dyDescent="0.25">
      <c r="A263" s="23">
        <v>46052.423715277801</v>
      </c>
      <c r="B263" s="19" t="s">
        <v>32</v>
      </c>
      <c r="C263" s="19" t="s">
        <v>31</v>
      </c>
      <c r="D263" s="19" t="s">
        <v>73</v>
      </c>
      <c r="E263" s="19" t="s">
        <v>587</v>
      </c>
      <c r="F263" s="19" t="s">
        <v>588</v>
      </c>
      <c r="G263" s="19" t="s">
        <v>72</v>
      </c>
      <c r="H263" s="19">
        <v>33</v>
      </c>
      <c r="I263" s="19">
        <v>100</v>
      </c>
      <c r="J263" s="19" t="str">
        <f t="shared" si="4"/>
        <v>Jan</v>
      </c>
      <c r="K263" s="19" t="str">
        <f>IF(I263&lt;=Calc!$B$2,"Yes","No")</f>
        <v>No</v>
      </c>
      <c r="L263" s="19">
        <f>IF(AND(OR(Dashboard!$W$6="All",C263=Dashboard!$W$6),OR(Dashboard!$W$7="All",D263=Dashboard!$W$7)),1,0)</f>
        <v>1</v>
      </c>
      <c r="M263" s="19">
        <f>L263*IF(OR(Dashboard!$W$8="All",J263=Dashboard!$W$8),1,0)</f>
        <v>1</v>
      </c>
    </row>
    <row r="264" spans="1:13" x14ac:dyDescent="0.25">
      <c r="A264" s="23">
        <v>46052.524317129602</v>
      </c>
      <c r="B264" s="19" t="s">
        <v>30</v>
      </c>
      <c r="C264" s="19" t="s">
        <v>27</v>
      </c>
      <c r="D264" s="19" t="s">
        <v>73</v>
      </c>
      <c r="E264" s="19" t="s">
        <v>589</v>
      </c>
      <c r="F264" s="19" t="s">
        <v>590</v>
      </c>
      <c r="G264" s="19" t="s">
        <v>93</v>
      </c>
      <c r="H264" s="19">
        <v>4</v>
      </c>
      <c r="I264" s="19">
        <v>76</v>
      </c>
      <c r="J264" s="19" t="str">
        <f t="shared" si="4"/>
        <v>Jan</v>
      </c>
      <c r="K264" s="19" t="str">
        <f>IF(I264&lt;=Calc!$B$2,"Yes","No")</f>
        <v>No</v>
      </c>
      <c r="L264" s="19">
        <f>IF(AND(OR(Dashboard!$W$6="All",C264=Dashboard!$W$6),OR(Dashboard!$W$7="All",D264=Dashboard!$W$7)),1,0)</f>
        <v>1</v>
      </c>
      <c r="M264" s="19">
        <f>L264*IF(OR(Dashboard!$W$8="All",J264=Dashboard!$W$8),1,0)</f>
        <v>1</v>
      </c>
    </row>
    <row r="265" spans="1:13" x14ac:dyDescent="0.25">
      <c r="A265" s="23">
        <v>46052.527557870402</v>
      </c>
      <c r="B265" s="19" t="s">
        <v>36</v>
      </c>
      <c r="C265" s="19" t="s">
        <v>25</v>
      </c>
      <c r="D265" s="19" t="s">
        <v>65</v>
      </c>
      <c r="E265" s="19" t="s">
        <v>591</v>
      </c>
      <c r="F265" s="19" t="s">
        <v>592</v>
      </c>
      <c r="G265" s="19" t="s">
        <v>59</v>
      </c>
      <c r="H265" s="19">
        <v>35</v>
      </c>
      <c r="I265" s="19">
        <v>123</v>
      </c>
      <c r="J265" s="19" t="str">
        <f t="shared" si="4"/>
        <v>Jan</v>
      </c>
      <c r="K265" s="19" t="str">
        <f>IF(I265&lt;=Calc!$B$2,"Yes","No")</f>
        <v>No</v>
      </c>
      <c r="L265" s="19">
        <f>IF(AND(OR(Dashboard!$W$6="All",C265=Dashboard!$W$6),OR(Dashboard!$W$7="All",D265=Dashboard!$W$7)),1,0)</f>
        <v>1</v>
      </c>
      <c r="M265" s="19">
        <f>L265*IF(OR(Dashboard!$W$8="All",J265=Dashboard!$W$8),1,0)</f>
        <v>1</v>
      </c>
    </row>
    <row r="266" spans="1:13" x14ac:dyDescent="0.25">
      <c r="A266" s="23">
        <v>46052.573518518497</v>
      </c>
      <c r="B266" s="19" t="s">
        <v>34</v>
      </c>
      <c r="C266" s="19" t="s">
        <v>25</v>
      </c>
      <c r="D266" s="19" t="s">
        <v>65</v>
      </c>
      <c r="E266" s="19" t="s">
        <v>593</v>
      </c>
      <c r="F266" s="19" t="s">
        <v>594</v>
      </c>
      <c r="G266" s="19" t="s">
        <v>56</v>
      </c>
      <c r="H266" s="19">
        <v>38</v>
      </c>
      <c r="I266" s="19">
        <v>110</v>
      </c>
      <c r="J266" s="19" t="str">
        <f t="shared" si="4"/>
        <v>Jan</v>
      </c>
      <c r="K266" s="19" t="str">
        <f>IF(I266&lt;=Calc!$B$2,"Yes","No")</f>
        <v>No</v>
      </c>
      <c r="L266" s="19">
        <f>IF(AND(OR(Dashboard!$W$6="All",C266=Dashboard!$W$6),OR(Dashboard!$W$7="All",D266=Dashboard!$W$7)),1,0)</f>
        <v>1</v>
      </c>
      <c r="M266" s="19">
        <f>L266*IF(OR(Dashboard!$W$8="All",J266=Dashboard!$W$8),1,0)</f>
        <v>1</v>
      </c>
    </row>
    <row r="267" spans="1:13" x14ac:dyDescent="0.25">
      <c r="A267" s="23">
        <v>46052.770138888904</v>
      </c>
      <c r="B267" s="19" t="s">
        <v>36</v>
      </c>
      <c r="C267" s="19" t="s">
        <v>31</v>
      </c>
      <c r="D267" s="19" t="s">
        <v>73</v>
      </c>
      <c r="E267" s="19" t="s">
        <v>595</v>
      </c>
      <c r="F267" s="19" t="s">
        <v>596</v>
      </c>
      <c r="G267" s="19" t="s">
        <v>59</v>
      </c>
      <c r="H267" s="19">
        <v>8</v>
      </c>
      <c r="I267" s="19">
        <v>94</v>
      </c>
      <c r="J267" s="19" t="str">
        <f t="shared" si="4"/>
        <v>Jan</v>
      </c>
      <c r="K267" s="19" t="str">
        <f>IF(I267&lt;=Calc!$B$2,"Yes","No")</f>
        <v>No</v>
      </c>
      <c r="L267" s="19">
        <f>IF(AND(OR(Dashboard!$W$6="All",C267=Dashboard!$W$6),OR(Dashboard!$W$7="All",D267=Dashboard!$W$7)),1,0)</f>
        <v>1</v>
      </c>
      <c r="M267" s="19">
        <f>L267*IF(OR(Dashboard!$W$8="All",J267=Dashboard!$W$8),1,0)</f>
        <v>1</v>
      </c>
    </row>
    <row r="268" spans="1:13" x14ac:dyDescent="0.25">
      <c r="A268" s="23">
        <v>46052.815011574101</v>
      </c>
      <c r="B268" s="19" t="s">
        <v>26</v>
      </c>
      <c r="C268" s="19" t="s">
        <v>27</v>
      </c>
      <c r="D268" s="19" t="s">
        <v>53</v>
      </c>
      <c r="E268" s="19" t="s">
        <v>597</v>
      </c>
      <c r="F268" s="19" t="s">
        <v>598</v>
      </c>
      <c r="G268" s="19" t="s">
        <v>100</v>
      </c>
      <c r="H268" s="19">
        <v>4</v>
      </c>
      <c r="I268" s="19">
        <v>103</v>
      </c>
      <c r="J268" s="19" t="str">
        <f t="shared" si="4"/>
        <v>Jan</v>
      </c>
      <c r="K268" s="19" t="str">
        <f>IF(I268&lt;=Calc!$B$2,"Yes","No")</f>
        <v>No</v>
      </c>
      <c r="L268" s="19">
        <f>IF(AND(OR(Dashboard!$W$6="All",C268=Dashboard!$W$6),OR(Dashboard!$W$7="All",D268=Dashboard!$W$7)),1,0)</f>
        <v>1</v>
      </c>
      <c r="M268" s="19">
        <f>L268*IF(OR(Dashboard!$W$8="All",J268=Dashboard!$W$8),1,0)</f>
        <v>1</v>
      </c>
    </row>
    <row r="269" spans="1:13" x14ac:dyDescent="0.25">
      <c r="A269" s="23">
        <v>46052.856655092597</v>
      </c>
      <c r="B269" s="19" t="s">
        <v>34</v>
      </c>
      <c r="C269" s="19" t="s">
        <v>25</v>
      </c>
      <c r="D269" s="19" t="s">
        <v>69</v>
      </c>
      <c r="E269" s="19" t="s">
        <v>599</v>
      </c>
      <c r="F269" s="19" t="s">
        <v>600</v>
      </c>
      <c r="G269" s="19" t="s">
        <v>56</v>
      </c>
      <c r="H269" s="19">
        <v>52</v>
      </c>
      <c r="I269" s="19">
        <v>180</v>
      </c>
      <c r="J269" s="19" t="str">
        <f t="shared" si="4"/>
        <v>Jan</v>
      </c>
      <c r="K269" s="19" t="str">
        <f>IF(I269&lt;=Calc!$B$2,"Yes","No")</f>
        <v>No</v>
      </c>
      <c r="L269" s="19">
        <f>IF(AND(OR(Dashboard!$W$6="All",C269=Dashboard!$W$6),OR(Dashboard!$W$7="All",D269=Dashboard!$W$7)),1,0)</f>
        <v>1</v>
      </c>
      <c r="M269" s="19">
        <f>L269*IF(OR(Dashboard!$W$8="All",J269=Dashboard!$W$8),1,0)</f>
        <v>1</v>
      </c>
    </row>
    <row r="270" spans="1:13" x14ac:dyDescent="0.25">
      <c r="A270" s="23">
        <v>46052.920289351903</v>
      </c>
      <c r="B270" s="19" t="s">
        <v>30</v>
      </c>
      <c r="C270" s="19" t="s">
        <v>25</v>
      </c>
      <c r="D270" s="19" t="s">
        <v>69</v>
      </c>
      <c r="E270" s="19" t="s">
        <v>601</v>
      </c>
      <c r="F270" s="19" t="s">
        <v>602</v>
      </c>
      <c r="G270" s="19" t="s">
        <v>93</v>
      </c>
      <c r="H270" s="19">
        <v>18</v>
      </c>
      <c r="I270" s="19">
        <v>122</v>
      </c>
      <c r="J270" s="19" t="str">
        <f t="shared" si="4"/>
        <v>Jan</v>
      </c>
      <c r="K270" s="19" t="str">
        <f>IF(I270&lt;=Calc!$B$2,"Yes","No")</f>
        <v>No</v>
      </c>
      <c r="L270" s="19">
        <f>IF(AND(OR(Dashboard!$W$6="All",C270=Dashboard!$W$6),OR(Dashboard!$W$7="All",D270=Dashboard!$W$7)),1,0)</f>
        <v>1</v>
      </c>
      <c r="M270" s="19">
        <f>L270*IF(OR(Dashboard!$W$8="All",J270=Dashboard!$W$8),1,0)</f>
        <v>1</v>
      </c>
    </row>
    <row r="271" spans="1:13" x14ac:dyDescent="0.25">
      <c r="A271" s="23">
        <v>46052.987916666701</v>
      </c>
      <c r="B271" s="19" t="s">
        <v>35</v>
      </c>
      <c r="C271" s="19" t="s">
        <v>27</v>
      </c>
      <c r="D271" s="19" t="s">
        <v>69</v>
      </c>
      <c r="E271" s="19" t="s">
        <v>603</v>
      </c>
      <c r="F271" s="19" t="s">
        <v>604</v>
      </c>
      <c r="G271" s="19" t="s">
        <v>64</v>
      </c>
      <c r="H271" s="19">
        <v>13</v>
      </c>
      <c r="I271" s="19">
        <v>72</v>
      </c>
      <c r="J271" s="19" t="str">
        <f t="shared" si="4"/>
        <v>Jan</v>
      </c>
      <c r="K271" s="19" t="str">
        <f>IF(I271&lt;=Calc!$B$2,"Yes","No")</f>
        <v>No</v>
      </c>
      <c r="L271" s="19">
        <f>IF(AND(OR(Dashboard!$W$6="All",C271=Dashboard!$W$6),OR(Dashboard!$W$7="All",D271=Dashboard!$W$7)),1,0)</f>
        <v>1</v>
      </c>
      <c r="M271" s="19">
        <f>L271*IF(OR(Dashboard!$W$8="All",J271=Dashboard!$W$8),1,0)</f>
        <v>1</v>
      </c>
    </row>
    <row r="272" spans="1:13" x14ac:dyDescent="0.25">
      <c r="A272" s="23">
        <v>46053.0285532407</v>
      </c>
      <c r="B272" s="19" t="s">
        <v>26</v>
      </c>
      <c r="C272" s="19" t="s">
        <v>27</v>
      </c>
      <c r="D272" s="19" t="s">
        <v>65</v>
      </c>
      <c r="E272" s="19" t="s">
        <v>605</v>
      </c>
      <c r="F272" s="19" t="s">
        <v>606</v>
      </c>
      <c r="G272" s="19" t="s">
        <v>100</v>
      </c>
      <c r="H272" s="19">
        <v>13</v>
      </c>
      <c r="I272" s="19">
        <v>48</v>
      </c>
      <c r="J272" s="19" t="str">
        <f t="shared" si="4"/>
        <v>Jan</v>
      </c>
      <c r="K272" s="19" t="str">
        <f>IF(I272&lt;=Calc!$B$2,"Yes","No")</f>
        <v>Yes</v>
      </c>
      <c r="L272" s="19">
        <f>IF(AND(OR(Dashboard!$W$6="All",C272=Dashboard!$W$6),OR(Dashboard!$W$7="All",D272=Dashboard!$W$7)),1,0)</f>
        <v>1</v>
      </c>
      <c r="M272" s="19">
        <f>L272*IF(OR(Dashboard!$W$8="All",J272=Dashboard!$W$8),1,0)</f>
        <v>1</v>
      </c>
    </row>
    <row r="273" spans="1:13" x14ac:dyDescent="0.25">
      <c r="A273" s="23">
        <v>46053.029143518499</v>
      </c>
      <c r="B273" s="19" t="s">
        <v>32</v>
      </c>
      <c r="C273" s="19" t="s">
        <v>27</v>
      </c>
      <c r="D273" s="19" t="s">
        <v>53</v>
      </c>
      <c r="E273" s="19" t="s">
        <v>607</v>
      </c>
      <c r="F273" s="19" t="s">
        <v>608</v>
      </c>
      <c r="G273" s="19" t="s">
        <v>72</v>
      </c>
      <c r="H273" s="19">
        <v>11</v>
      </c>
      <c r="I273" s="19">
        <v>62</v>
      </c>
      <c r="J273" s="19" t="str">
        <f t="shared" si="4"/>
        <v>Jan</v>
      </c>
      <c r="K273" s="19" t="str">
        <f>IF(I273&lt;=Calc!$B$2,"Yes","No")</f>
        <v>No</v>
      </c>
      <c r="L273" s="19">
        <f>IF(AND(OR(Dashboard!$W$6="All",C273=Dashboard!$W$6),OR(Dashboard!$W$7="All",D273=Dashboard!$W$7)),1,0)</f>
        <v>1</v>
      </c>
      <c r="M273" s="19">
        <f>L273*IF(OR(Dashboard!$W$8="All",J273=Dashboard!$W$8),1,0)</f>
        <v>1</v>
      </c>
    </row>
    <row r="274" spans="1:13" x14ac:dyDescent="0.25">
      <c r="A274" s="23">
        <v>46053.301145833299</v>
      </c>
      <c r="B274" s="19" t="s">
        <v>34</v>
      </c>
      <c r="C274" s="19" t="s">
        <v>27</v>
      </c>
      <c r="D274" s="19" t="s">
        <v>53</v>
      </c>
      <c r="E274" s="19" t="s">
        <v>609</v>
      </c>
      <c r="F274" s="19" t="s">
        <v>610</v>
      </c>
      <c r="G274" s="19" t="s">
        <v>56</v>
      </c>
      <c r="H274" s="19">
        <v>18</v>
      </c>
      <c r="I274" s="19">
        <v>138</v>
      </c>
      <c r="J274" s="19" t="str">
        <f t="shared" si="4"/>
        <v>Jan</v>
      </c>
      <c r="K274" s="19" t="str">
        <f>IF(I274&lt;=Calc!$B$2,"Yes","No")</f>
        <v>No</v>
      </c>
      <c r="L274" s="19">
        <f>IF(AND(OR(Dashboard!$W$6="All",C274=Dashboard!$W$6),OR(Dashboard!$W$7="All",D274=Dashboard!$W$7)),1,0)</f>
        <v>1</v>
      </c>
      <c r="M274" s="19">
        <f>L274*IF(OR(Dashboard!$W$8="All",J274=Dashboard!$W$8),1,0)</f>
        <v>1</v>
      </c>
    </row>
    <row r="275" spans="1:13" x14ac:dyDescent="0.25">
      <c r="A275" s="23">
        <v>46053.360844907402</v>
      </c>
      <c r="B275" s="19" t="s">
        <v>35</v>
      </c>
      <c r="C275" s="19" t="s">
        <v>27</v>
      </c>
      <c r="D275" s="19" t="s">
        <v>65</v>
      </c>
      <c r="E275" s="19" t="s">
        <v>611</v>
      </c>
      <c r="F275" s="19" t="s">
        <v>612</v>
      </c>
      <c r="G275" s="19" t="s">
        <v>64</v>
      </c>
      <c r="H275" s="19">
        <v>20</v>
      </c>
      <c r="I275" s="19">
        <v>57</v>
      </c>
      <c r="J275" s="19" t="str">
        <f t="shared" si="4"/>
        <v>Jan</v>
      </c>
      <c r="K275" s="19" t="str">
        <f>IF(I275&lt;=Calc!$B$2,"Yes","No")</f>
        <v>Yes</v>
      </c>
      <c r="L275" s="19">
        <f>IF(AND(OR(Dashboard!$W$6="All",C275=Dashboard!$W$6),OR(Dashboard!$W$7="All",D275=Dashboard!$W$7)),1,0)</f>
        <v>1</v>
      </c>
      <c r="M275" s="19">
        <f>L275*IF(OR(Dashboard!$W$8="All",J275=Dashboard!$W$8),1,0)</f>
        <v>1</v>
      </c>
    </row>
    <row r="276" spans="1:13" x14ac:dyDescent="0.25">
      <c r="A276" s="23">
        <v>46053.361597222203</v>
      </c>
      <c r="B276" s="19" t="s">
        <v>36</v>
      </c>
      <c r="C276" s="19" t="s">
        <v>25</v>
      </c>
      <c r="D276" s="19" t="s">
        <v>53</v>
      </c>
      <c r="E276" s="19" t="s">
        <v>613</v>
      </c>
      <c r="F276" s="19" t="s">
        <v>614</v>
      </c>
      <c r="G276" s="19" t="s">
        <v>59</v>
      </c>
      <c r="H276" s="19">
        <v>39</v>
      </c>
      <c r="I276" s="19">
        <v>94</v>
      </c>
      <c r="J276" s="19" t="str">
        <f t="shared" si="4"/>
        <v>Jan</v>
      </c>
      <c r="K276" s="19" t="str">
        <f>IF(I276&lt;=Calc!$B$2,"Yes","No")</f>
        <v>No</v>
      </c>
      <c r="L276" s="19">
        <f>IF(AND(OR(Dashboard!$W$6="All",C276=Dashboard!$W$6),OR(Dashboard!$W$7="All",D276=Dashboard!$W$7)),1,0)</f>
        <v>1</v>
      </c>
      <c r="M276" s="19">
        <f>L276*IF(OR(Dashboard!$W$8="All",J276=Dashboard!$W$8),1,0)</f>
        <v>1</v>
      </c>
    </row>
    <row r="277" spans="1:13" x14ac:dyDescent="0.25">
      <c r="A277" s="23">
        <v>46053.477708333303</v>
      </c>
      <c r="B277" s="19" t="s">
        <v>30</v>
      </c>
      <c r="C277" s="19" t="s">
        <v>29</v>
      </c>
      <c r="D277" s="19" t="s">
        <v>73</v>
      </c>
      <c r="E277" s="19" t="s">
        <v>615</v>
      </c>
      <c r="F277" s="19" t="s">
        <v>616</v>
      </c>
      <c r="G277" s="19" t="s">
        <v>93</v>
      </c>
      <c r="H277" s="19">
        <v>36</v>
      </c>
      <c r="I277" s="19">
        <v>124</v>
      </c>
      <c r="J277" s="19" t="str">
        <f t="shared" si="4"/>
        <v>Jan</v>
      </c>
      <c r="K277" s="19" t="str">
        <f>IF(I277&lt;=Calc!$B$2,"Yes","No")</f>
        <v>No</v>
      </c>
      <c r="L277" s="19">
        <f>IF(AND(OR(Dashboard!$W$6="All",C277=Dashboard!$W$6),OR(Dashboard!$W$7="All",D277=Dashboard!$W$7)),1,0)</f>
        <v>1</v>
      </c>
      <c r="M277" s="19">
        <f>L277*IF(OR(Dashboard!$W$8="All",J277=Dashboard!$W$8),1,0)</f>
        <v>1</v>
      </c>
    </row>
    <row r="278" spans="1:13" x14ac:dyDescent="0.25">
      <c r="A278" s="23">
        <v>46053.504224536999</v>
      </c>
      <c r="B278" s="19" t="s">
        <v>35</v>
      </c>
      <c r="C278" s="19" t="s">
        <v>25</v>
      </c>
      <c r="D278" s="19" t="s">
        <v>73</v>
      </c>
      <c r="E278" s="19" t="s">
        <v>617</v>
      </c>
      <c r="F278" s="19" t="s">
        <v>618</v>
      </c>
      <c r="G278" s="19" t="s">
        <v>64</v>
      </c>
      <c r="H278" s="19">
        <v>36</v>
      </c>
      <c r="I278" s="19">
        <v>147</v>
      </c>
      <c r="J278" s="19" t="str">
        <f t="shared" si="4"/>
        <v>Jan</v>
      </c>
      <c r="K278" s="19" t="str">
        <f>IF(I278&lt;=Calc!$B$2,"Yes","No")</f>
        <v>No</v>
      </c>
      <c r="L278" s="19">
        <f>IF(AND(OR(Dashboard!$W$6="All",C278=Dashboard!$W$6),OR(Dashboard!$W$7="All",D278=Dashboard!$W$7)),1,0)</f>
        <v>1</v>
      </c>
      <c r="M278" s="19">
        <f>L278*IF(OR(Dashboard!$W$8="All",J278=Dashboard!$W$8),1,0)</f>
        <v>1</v>
      </c>
    </row>
    <row r="279" spans="1:13" x14ac:dyDescent="0.25">
      <c r="A279" s="23">
        <v>46054.159884259301</v>
      </c>
      <c r="B279" s="19" t="s">
        <v>32</v>
      </c>
      <c r="C279" s="19" t="s">
        <v>25</v>
      </c>
      <c r="D279" s="19" t="s">
        <v>53</v>
      </c>
      <c r="E279" s="19" t="s">
        <v>619</v>
      </c>
      <c r="F279" s="19" t="s">
        <v>620</v>
      </c>
      <c r="G279" s="19" t="s">
        <v>72</v>
      </c>
      <c r="H279" s="19">
        <v>44</v>
      </c>
      <c r="I279" s="19">
        <v>152</v>
      </c>
      <c r="J279" s="19" t="str">
        <f t="shared" si="4"/>
        <v>Feb</v>
      </c>
      <c r="K279" s="19" t="str">
        <f>IF(I279&lt;=Calc!$B$2,"Yes","No")</f>
        <v>No</v>
      </c>
      <c r="L279" s="19">
        <f>IF(AND(OR(Dashboard!$W$6="All",C279=Dashboard!$W$6),OR(Dashboard!$W$7="All",D279=Dashboard!$W$7)),1,0)</f>
        <v>1</v>
      </c>
      <c r="M279" s="19">
        <f>L279*IF(OR(Dashboard!$W$8="All",J279=Dashboard!$W$8),1,0)</f>
        <v>1</v>
      </c>
    </row>
    <row r="280" spans="1:13" x14ac:dyDescent="0.25">
      <c r="A280" s="23">
        <v>46054.321655092601</v>
      </c>
      <c r="B280" s="19" t="s">
        <v>35</v>
      </c>
      <c r="C280" s="19" t="s">
        <v>25</v>
      </c>
      <c r="D280" s="19" t="s">
        <v>69</v>
      </c>
      <c r="E280" s="19" t="s">
        <v>621</v>
      </c>
      <c r="F280" s="19" t="s">
        <v>622</v>
      </c>
      <c r="G280" s="19" t="s">
        <v>64</v>
      </c>
      <c r="H280" s="19">
        <v>22</v>
      </c>
      <c r="I280" s="19">
        <v>128</v>
      </c>
      <c r="J280" s="19" t="str">
        <f t="shared" si="4"/>
        <v>Feb</v>
      </c>
      <c r="K280" s="19" t="str">
        <f>IF(I280&lt;=Calc!$B$2,"Yes","No")</f>
        <v>No</v>
      </c>
      <c r="L280" s="19">
        <f>IF(AND(OR(Dashboard!$W$6="All",C280=Dashboard!$W$6),OR(Dashboard!$W$7="All",D280=Dashboard!$W$7)),1,0)</f>
        <v>1</v>
      </c>
      <c r="M280" s="19">
        <f>L280*IF(OR(Dashboard!$W$8="All",J280=Dashboard!$W$8),1,0)</f>
        <v>1</v>
      </c>
    </row>
    <row r="281" spans="1:13" x14ac:dyDescent="0.25">
      <c r="A281" s="23">
        <v>46054.464178240698</v>
      </c>
      <c r="B281" s="19" t="s">
        <v>36</v>
      </c>
      <c r="C281" s="19" t="s">
        <v>25</v>
      </c>
      <c r="D281" s="19" t="s">
        <v>69</v>
      </c>
      <c r="E281" s="19" t="s">
        <v>623</v>
      </c>
      <c r="F281" s="19" t="s">
        <v>624</v>
      </c>
      <c r="G281" s="19" t="s">
        <v>59</v>
      </c>
      <c r="H281" s="19">
        <v>32</v>
      </c>
      <c r="I281" s="19">
        <v>146</v>
      </c>
      <c r="J281" s="19" t="str">
        <f t="shared" si="4"/>
        <v>Feb</v>
      </c>
      <c r="K281" s="19" t="str">
        <f>IF(I281&lt;=Calc!$B$2,"Yes","No")</f>
        <v>No</v>
      </c>
      <c r="L281" s="19">
        <f>IF(AND(OR(Dashboard!$W$6="All",C281=Dashboard!$W$6),OR(Dashboard!$W$7="All",D281=Dashboard!$W$7)),1,0)</f>
        <v>1</v>
      </c>
      <c r="M281" s="19">
        <f>L281*IF(OR(Dashboard!$W$8="All",J281=Dashboard!$W$8),1,0)</f>
        <v>1</v>
      </c>
    </row>
    <row r="282" spans="1:13" x14ac:dyDescent="0.25">
      <c r="A282" s="23">
        <v>46054.494444444397</v>
      </c>
      <c r="B282" s="19" t="s">
        <v>36</v>
      </c>
      <c r="C282" s="19" t="s">
        <v>25</v>
      </c>
      <c r="D282" s="19" t="s">
        <v>73</v>
      </c>
      <c r="E282" s="19" t="s">
        <v>625</v>
      </c>
      <c r="F282" s="19" t="s">
        <v>626</v>
      </c>
      <c r="G282" s="19" t="s">
        <v>59</v>
      </c>
      <c r="H282" s="19">
        <v>34</v>
      </c>
      <c r="I282" s="19">
        <v>175</v>
      </c>
      <c r="J282" s="19" t="str">
        <f t="shared" si="4"/>
        <v>Feb</v>
      </c>
      <c r="K282" s="19" t="str">
        <f>IF(I282&lt;=Calc!$B$2,"Yes","No")</f>
        <v>No</v>
      </c>
      <c r="L282" s="19">
        <f>IF(AND(OR(Dashboard!$W$6="All",C282=Dashboard!$W$6),OR(Dashboard!$W$7="All",D282=Dashboard!$W$7)),1,0)</f>
        <v>1</v>
      </c>
      <c r="M282" s="19">
        <f>L282*IF(OR(Dashboard!$W$8="All",J282=Dashboard!$W$8),1,0)</f>
        <v>1</v>
      </c>
    </row>
    <row r="283" spans="1:13" x14ac:dyDescent="0.25">
      <c r="A283" s="23">
        <v>46054.499050925901</v>
      </c>
      <c r="B283" s="19" t="s">
        <v>35</v>
      </c>
      <c r="C283" s="19" t="s">
        <v>29</v>
      </c>
      <c r="D283" s="19" t="s">
        <v>73</v>
      </c>
      <c r="E283" s="19" t="s">
        <v>627</v>
      </c>
      <c r="F283" s="19" t="s">
        <v>628</v>
      </c>
      <c r="G283" s="19" t="s">
        <v>64</v>
      </c>
      <c r="H283" s="19">
        <v>17</v>
      </c>
      <c r="I283" s="19">
        <v>123</v>
      </c>
      <c r="J283" s="19" t="str">
        <f t="shared" si="4"/>
        <v>Feb</v>
      </c>
      <c r="K283" s="19" t="str">
        <f>IF(I283&lt;=Calc!$B$2,"Yes","No")</f>
        <v>No</v>
      </c>
      <c r="L283" s="19">
        <f>IF(AND(OR(Dashboard!$W$6="All",C283=Dashboard!$W$6),OR(Dashboard!$W$7="All",D283=Dashboard!$W$7)),1,0)</f>
        <v>1</v>
      </c>
      <c r="M283" s="19">
        <f>L283*IF(OR(Dashboard!$W$8="All",J283=Dashboard!$W$8),1,0)</f>
        <v>1</v>
      </c>
    </row>
    <row r="284" spans="1:13" x14ac:dyDescent="0.25">
      <c r="A284" s="23">
        <v>46054.573912036998</v>
      </c>
      <c r="B284" s="19" t="s">
        <v>30</v>
      </c>
      <c r="C284" s="19" t="s">
        <v>29</v>
      </c>
      <c r="D284" s="19" t="s">
        <v>53</v>
      </c>
      <c r="E284" s="19" t="s">
        <v>629</v>
      </c>
      <c r="F284" s="19" t="s">
        <v>630</v>
      </c>
      <c r="G284" s="19" t="s">
        <v>93</v>
      </c>
      <c r="H284" s="19">
        <v>44</v>
      </c>
      <c r="I284" s="19">
        <v>171</v>
      </c>
      <c r="J284" s="19" t="str">
        <f t="shared" si="4"/>
        <v>Feb</v>
      </c>
      <c r="K284" s="19" t="str">
        <f>IF(I284&lt;=Calc!$B$2,"Yes","No")</f>
        <v>No</v>
      </c>
      <c r="L284" s="19">
        <f>IF(AND(OR(Dashboard!$W$6="All",C284=Dashboard!$W$6),OR(Dashboard!$W$7="All",D284=Dashboard!$W$7)),1,0)</f>
        <v>1</v>
      </c>
      <c r="M284" s="19">
        <f>L284*IF(OR(Dashboard!$W$8="All",J284=Dashboard!$W$8),1,0)</f>
        <v>1</v>
      </c>
    </row>
    <row r="285" spans="1:13" x14ac:dyDescent="0.25">
      <c r="A285" s="23">
        <v>46054.640405092599</v>
      </c>
      <c r="B285" s="19" t="s">
        <v>26</v>
      </c>
      <c r="C285" s="19" t="s">
        <v>25</v>
      </c>
      <c r="D285" s="19" t="s">
        <v>69</v>
      </c>
      <c r="E285" s="19" t="s">
        <v>631</v>
      </c>
      <c r="F285" s="19" t="s">
        <v>632</v>
      </c>
      <c r="G285" s="19" t="s">
        <v>100</v>
      </c>
      <c r="H285" s="19">
        <v>47</v>
      </c>
      <c r="I285" s="19">
        <v>156</v>
      </c>
      <c r="J285" s="19" t="str">
        <f t="shared" si="4"/>
        <v>Feb</v>
      </c>
      <c r="K285" s="19" t="str">
        <f>IF(I285&lt;=Calc!$B$2,"Yes","No")</f>
        <v>No</v>
      </c>
      <c r="L285" s="19">
        <f>IF(AND(OR(Dashboard!$W$6="All",C285=Dashboard!$W$6),OR(Dashboard!$W$7="All",D285=Dashboard!$W$7)),1,0)</f>
        <v>1</v>
      </c>
      <c r="M285" s="19">
        <f>L285*IF(OR(Dashboard!$W$8="All",J285=Dashboard!$W$8),1,0)</f>
        <v>1</v>
      </c>
    </row>
    <row r="286" spans="1:13" x14ac:dyDescent="0.25">
      <c r="A286" s="23">
        <v>46054.842314814799</v>
      </c>
      <c r="B286" s="19" t="s">
        <v>32</v>
      </c>
      <c r="C286" s="19" t="s">
        <v>25</v>
      </c>
      <c r="D286" s="19" t="s">
        <v>53</v>
      </c>
      <c r="E286" s="19" t="s">
        <v>633</v>
      </c>
      <c r="F286" s="19" t="s">
        <v>634</v>
      </c>
      <c r="G286" s="19" t="s">
        <v>72</v>
      </c>
      <c r="H286" s="19">
        <v>20</v>
      </c>
      <c r="I286" s="19">
        <v>117</v>
      </c>
      <c r="J286" s="19" t="str">
        <f t="shared" si="4"/>
        <v>Feb</v>
      </c>
      <c r="K286" s="19" t="str">
        <f>IF(I286&lt;=Calc!$B$2,"Yes","No")</f>
        <v>No</v>
      </c>
      <c r="L286" s="19">
        <f>IF(AND(OR(Dashboard!$W$6="All",C286=Dashboard!$W$6),OR(Dashboard!$W$7="All",D286=Dashboard!$W$7)),1,0)</f>
        <v>1</v>
      </c>
      <c r="M286" s="19">
        <f>L286*IF(OR(Dashboard!$W$8="All",J286=Dashboard!$W$8),1,0)</f>
        <v>1</v>
      </c>
    </row>
    <row r="287" spans="1:13" x14ac:dyDescent="0.25">
      <c r="A287" s="23">
        <v>46054.891909722202</v>
      </c>
      <c r="B287" s="19" t="s">
        <v>36</v>
      </c>
      <c r="C287" s="19" t="s">
        <v>29</v>
      </c>
      <c r="D287" s="19" t="s">
        <v>65</v>
      </c>
      <c r="E287" s="19" t="s">
        <v>635</v>
      </c>
      <c r="F287" s="19" t="s">
        <v>636</v>
      </c>
      <c r="G287" s="19" t="s">
        <v>59</v>
      </c>
      <c r="H287" s="19">
        <v>26</v>
      </c>
      <c r="I287" s="19">
        <v>173</v>
      </c>
      <c r="J287" s="19" t="str">
        <f t="shared" si="4"/>
        <v>Feb</v>
      </c>
      <c r="K287" s="19" t="str">
        <f>IF(I287&lt;=Calc!$B$2,"Yes","No")</f>
        <v>No</v>
      </c>
      <c r="L287" s="19">
        <f>IF(AND(OR(Dashboard!$W$6="All",C287=Dashboard!$W$6),OR(Dashboard!$W$7="All",D287=Dashboard!$W$7)),1,0)</f>
        <v>1</v>
      </c>
      <c r="M287" s="19">
        <f>L287*IF(OR(Dashboard!$W$8="All",J287=Dashboard!$W$8),1,0)</f>
        <v>1</v>
      </c>
    </row>
    <row r="288" spans="1:13" x14ac:dyDescent="0.25">
      <c r="A288" s="23">
        <v>46055.081423611096</v>
      </c>
      <c r="B288" s="19" t="s">
        <v>35</v>
      </c>
      <c r="C288" s="19" t="s">
        <v>27</v>
      </c>
      <c r="D288" s="19" t="s">
        <v>65</v>
      </c>
      <c r="E288" s="19" t="s">
        <v>637</v>
      </c>
      <c r="F288" s="19" t="s">
        <v>638</v>
      </c>
      <c r="G288" s="19" t="s">
        <v>64</v>
      </c>
      <c r="H288" s="19">
        <v>17</v>
      </c>
      <c r="I288" s="19">
        <v>141</v>
      </c>
      <c r="J288" s="19" t="str">
        <f t="shared" si="4"/>
        <v>Feb</v>
      </c>
      <c r="K288" s="19" t="str">
        <f>IF(I288&lt;=Calc!$B$2,"Yes","No")</f>
        <v>No</v>
      </c>
      <c r="L288" s="19">
        <f>IF(AND(OR(Dashboard!$W$6="All",C288=Dashboard!$W$6),OR(Dashboard!$W$7="All",D288=Dashboard!$W$7)),1,0)</f>
        <v>1</v>
      </c>
      <c r="M288" s="19">
        <f>L288*IF(OR(Dashboard!$W$8="All",J288=Dashboard!$W$8),1,0)</f>
        <v>1</v>
      </c>
    </row>
    <row r="289" spans="1:13" x14ac:dyDescent="0.25">
      <c r="A289" s="23">
        <v>46055.208171296297</v>
      </c>
      <c r="B289" s="19" t="s">
        <v>34</v>
      </c>
      <c r="C289" s="19" t="s">
        <v>25</v>
      </c>
      <c r="D289" s="19" t="s">
        <v>53</v>
      </c>
      <c r="E289" s="19" t="s">
        <v>639</v>
      </c>
      <c r="F289" s="19" t="s">
        <v>640</v>
      </c>
      <c r="G289" s="19" t="s">
        <v>56</v>
      </c>
      <c r="H289" s="19">
        <v>41</v>
      </c>
      <c r="I289" s="19">
        <v>165</v>
      </c>
      <c r="J289" s="19" t="str">
        <f t="shared" si="4"/>
        <v>Feb</v>
      </c>
      <c r="K289" s="19" t="str">
        <f>IF(I289&lt;=Calc!$B$2,"Yes","No")</f>
        <v>No</v>
      </c>
      <c r="L289" s="19">
        <f>IF(AND(OR(Dashboard!$W$6="All",C289=Dashboard!$W$6),OR(Dashboard!$W$7="All",D289=Dashboard!$W$7)),1,0)</f>
        <v>1</v>
      </c>
      <c r="M289" s="19">
        <f>L289*IF(OR(Dashboard!$W$8="All",J289=Dashboard!$W$8),1,0)</f>
        <v>1</v>
      </c>
    </row>
    <row r="290" spans="1:13" x14ac:dyDescent="0.25">
      <c r="A290" s="23">
        <v>46055.222025463001</v>
      </c>
      <c r="B290" s="19" t="s">
        <v>33</v>
      </c>
      <c r="C290" s="19" t="s">
        <v>29</v>
      </c>
      <c r="D290" s="19" t="s">
        <v>65</v>
      </c>
      <c r="E290" s="19" t="s">
        <v>641</v>
      </c>
      <c r="F290" s="19" t="s">
        <v>642</v>
      </c>
      <c r="G290" s="19" t="s">
        <v>68</v>
      </c>
      <c r="H290" s="19">
        <v>26</v>
      </c>
      <c r="I290" s="19">
        <v>177</v>
      </c>
      <c r="J290" s="19" t="str">
        <f t="shared" si="4"/>
        <v>Feb</v>
      </c>
      <c r="K290" s="19" t="str">
        <f>IF(I290&lt;=Calc!$B$2,"Yes","No")</f>
        <v>No</v>
      </c>
      <c r="L290" s="19">
        <f>IF(AND(OR(Dashboard!$W$6="All",C290=Dashboard!$W$6),OR(Dashboard!$W$7="All",D290=Dashboard!$W$7)),1,0)</f>
        <v>1</v>
      </c>
      <c r="M290" s="19">
        <f>L290*IF(OR(Dashboard!$W$8="All",J290=Dashboard!$W$8),1,0)</f>
        <v>1</v>
      </c>
    </row>
    <row r="291" spans="1:13" x14ac:dyDescent="0.25">
      <c r="A291" s="23">
        <v>46055.231342592597</v>
      </c>
      <c r="B291" s="19" t="s">
        <v>26</v>
      </c>
      <c r="C291" s="19" t="s">
        <v>25</v>
      </c>
      <c r="D291" s="19" t="s">
        <v>65</v>
      </c>
      <c r="E291" s="19" t="s">
        <v>643</v>
      </c>
      <c r="F291" s="19" t="s">
        <v>644</v>
      </c>
      <c r="G291" s="19" t="s">
        <v>100</v>
      </c>
      <c r="H291" s="19">
        <v>37</v>
      </c>
      <c r="I291" s="19">
        <v>104</v>
      </c>
      <c r="J291" s="19" t="str">
        <f t="shared" si="4"/>
        <v>Feb</v>
      </c>
      <c r="K291" s="19" t="str">
        <f>IF(I291&lt;=Calc!$B$2,"Yes","No")</f>
        <v>No</v>
      </c>
      <c r="L291" s="19">
        <f>IF(AND(OR(Dashboard!$W$6="All",C291=Dashboard!$W$6),OR(Dashboard!$W$7="All",D291=Dashboard!$W$7)),1,0)</f>
        <v>1</v>
      </c>
      <c r="M291" s="19">
        <f>L291*IF(OR(Dashboard!$W$8="All",J291=Dashboard!$W$8),1,0)</f>
        <v>1</v>
      </c>
    </row>
    <row r="292" spans="1:13" x14ac:dyDescent="0.25">
      <c r="A292" s="23">
        <v>46055.255081018498</v>
      </c>
      <c r="B292" s="19" t="s">
        <v>28</v>
      </c>
      <c r="C292" s="19" t="s">
        <v>25</v>
      </c>
      <c r="D292" s="19" t="s">
        <v>53</v>
      </c>
      <c r="E292" s="19" t="s">
        <v>645</v>
      </c>
      <c r="F292" s="19" t="s">
        <v>646</v>
      </c>
      <c r="G292" s="19" t="s">
        <v>90</v>
      </c>
      <c r="H292" s="19">
        <v>21</v>
      </c>
      <c r="I292" s="19">
        <v>209</v>
      </c>
      <c r="J292" s="19" t="str">
        <f t="shared" si="4"/>
        <v>Feb</v>
      </c>
      <c r="K292" s="19" t="str">
        <f>IF(I292&lt;=Calc!$B$2,"Yes","No")</f>
        <v>No</v>
      </c>
      <c r="L292" s="19">
        <f>IF(AND(OR(Dashboard!$W$6="All",C292=Dashboard!$W$6),OR(Dashboard!$W$7="All",D292=Dashboard!$W$7)),1,0)</f>
        <v>1</v>
      </c>
      <c r="M292" s="19">
        <f>L292*IF(OR(Dashboard!$W$8="All",J292=Dashboard!$W$8),1,0)</f>
        <v>1</v>
      </c>
    </row>
    <row r="293" spans="1:13" x14ac:dyDescent="0.25">
      <c r="A293" s="23">
        <v>46055.385127314803</v>
      </c>
      <c r="B293" s="19" t="s">
        <v>34</v>
      </c>
      <c r="C293" s="19" t="s">
        <v>29</v>
      </c>
      <c r="D293" s="19" t="s">
        <v>69</v>
      </c>
      <c r="E293" s="19" t="s">
        <v>647</v>
      </c>
      <c r="F293" s="19" t="s">
        <v>648</v>
      </c>
      <c r="G293" s="19" t="s">
        <v>56</v>
      </c>
      <c r="H293" s="19">
        <v>31</v>
      </c>
      <c r="I293" s="19">
        <v>143</v>
      </c>
      <c r="J293" s="19" t="str">
        <f t="shared" si="4"/>
        <v>Feb</v>
      </c>
      <c r="K293" s="19" t="str">
        <f>IF(I293&lt;=Calc!$B$2,"Yes","No")</f>
        <v>No</v>
      </c>
      <c r="L293" s="19">
        <f>IF(AND(OR(Dashboard!$W$6="All",C293=Dashboard!$W$6),OR(Dashboard!$W$7="All",D293=Dashboard!$W$7)),1,0)</f>
        <v>1</v>
      </c>
      <c r="M293" s="19">
        <f>L293*IF(OR(Dashboard!$W$8="All",J293=Dashboard!$W$8),1,0)</f>
        <v>1</v>
      </c>
    </row>
    <row r="294" spans="1:13" x14ac:dyDescent="0.25">
      <c r="A294" s="23">
        <v>46055.4660069444</v>
      </c>
      <c r="B294" s="19" t="s">
        <v>34</v>
      </c>
      <c r="C294" s="19" t="s">
        <v>27</v>
      </c>
      <c r="D294" s="19" t="s">
        <v>69</v>
      </c>
      <c r="E294" s="19" t="s">
        <v>649</v>
      </c>
      <c r="F294" s="19" t="s">
        <v>650</v>
      </c>
      <c r="G294" s="19" t="s">
        <v>56</v>
      </c>
      <c r="H294" s="19">
        <v>17</v>
      </c>
      <c r="I294" s="19">
        <v>81</v>
      </c>
      <c r="J294" s="19" t="str">
        <f t="shared" si="4"/>
        <v>Feb</v>
      </c>
      <c r="K294" s="19" t="str">
        <f>IF(I294&lt;=Calc!$B$2,"Yes","No")</f>
        <v>No</v>
      </c>
      <c r="L294" s="19">
        <f>IF(AND(OR(Dashboard!$W$6="All",C294=Dashboard!$W$6),OR(Dashboard!$W$7="All",D294=Dashboard!$W$7)),1,0)</f>
        <v>1</v>
      </c>
      <c r="M294" s="19">
        <f>L294*IF(OR(Dashboard!$W$8="All",J294=Dashboard!$W$8),1,0)</f>
        <v>1</v>
      </c>
    </row>
    <row r="295" spans="1:13" x14ac:dyDescent="0.25">
      <c r="A295" s="23">
        <v>46055.491226851896</v>
      </c>
      <c r="B295" s="19" t="s">
        <v>36</v>
      </c>
      <c r="C295" s="19" t="s">
        <v>25</v>
      </c>
      <c r="D295" s="19" t="s">
        <v>73</v>
      </c>
      <c r="E295" s="19" t="s">
        <v>651</v>
      </c>
      <c r="F295" s="19" t="s">
        <v>652</v>
      </c>
      <c r="G295" s="19" t="s">
        <v>59</v>
      </c>
      <c r="H295" s="19">
        <v>28</v>
      </c>
      <c r="I295" s="19">
        <v>139</v>
      </c>
      <c r="J295" s="19" t="str">
        <f t="shared" si="4"/>
        <v>Feb</v>
      </c>
      <c r="K295" s="19" t="str">
        <f>IF(I295&lt;=Calc!$B$2,"Yes","No")</f>
        <v>No</v>
      </c>
      <c r="L295" s="19">
        <f>IF(AND(OR(Dashboard!$W$6="All",C295=Dashboard!$W$6),OR(Dashboard!$W$7="All",D295=Dashboard!$W$7)),1,0)</f>
        <v>1</v>
      </c>
      <c r="M295" s="19">
        <f>L295*IF(OR(Dashboard!$W$8="All",J295=Dashboard!$W$8),1,0)</f>
        <v>1</v>
      </c>
    </row>
    <row r="296" spans="1:13" x14ac:dyDescent="0.25">
      <c r="A296" s="23">
        <v>46055.529351851903</v>
      </c>
      <c r="B296" s="19" t="s">
        <v>33</v>
      </c>
      <c r="C296" s="19" t="s">
        <v>27</v>
      </c>
      <c r="D296" s="19" t="s">
        <v>65</v>
      </c>
      <c r="E296" s="19" t="s">
        <v>653</v>
      </c>
      <c r="F296" s="19" t="s">
        <v>654</v>
      </c>
      <c r="G296" s="19" t="s">
        <v>68</v>
      </c>
      <c r="H296" s="19">
        <v>10</v>
      </c>
      <c r="I296" s="19">
        <v>108</v>
      </c>
      <c r="J296" s="19" t="str">
        <f t="shared" si="4"/>
        <v>Feb</v>
      </c>
      <c r="K296" s="19" t="str">
        <f>IF(I296&lt;=Calc!$B$2,"Yes","No")</f>
        <v>No</v>
      </c>
      <c r="L296" s="19">
        <f>IF(AND(OR(Dashboard!$W$6="All",C296=Dashboard!$W$6),OR(Dashboard!$W$7="All",D296=Dashboard!$W$7)),1,0)</f>
        <v>1</v>
      </c>
      <c r="M296" s="19">
        <f>L296*IF(OR(Dashboard!$W$8="All",J296=Dashboard!$W$8),1,0)</f>
        <v>1</v>
      </c>
    </row>
    <row r="297" spans="1:13" x14ac:dyDescent="0.25">
      <c r="A297" s="23">
        <v>46055.598032407397</v>
      </c>
      <c r="B297" s="19" t="s">
        <v>30</v>
      </c>
      <c r="C297" s="19" t="s">
        <v>27</v>
      </c>
      <c r="D297" s="19" t="s">
        <v>65</v>
      </c>
      <c r="E297" s="19" t="s">
        <v>655</v>
      </c>
      <c r="F297" s="19" t="s">
        <v>656</v>
      </c>
      <c r="G297" s="19" t="s">
        <v>93</v>
      </c>
      <c r="H297" s="19">
        <v>21</v>
      </c>
      <c r="I297" s="19">
        <v>40</v>
      </c>
      <c r="J297" s="19" t="str">
        <f t="shared" si="4"/>
        <v>Feb</v>
      </c>
      <c r="K297" s="19" t="str">
        <f>IF(I297&lt;=Calc!$B$2,"Yes","No")</f>
        <v>Yes</v>
      </c>
      <c r="L297" s="19">
        <f>IF(AND(OR(Dashboard!$W$6="All",C297=Dashboard!$W$6),OR(Dashboard!$W$7="All",D297=Dashboard!$W$7)),1,0)</f>
        <v>1</v>
      </c>
      <c r="M297" s="19">
        <f>L297*IF(OR(Dashboard!$W$8="All",J297=Dashboard!$W$8),1,0)</f>
        <v>1</v>
      </c>
    </row>
    <row r="298" spans="1:13" x14ac:dyDescent="0.25">
      <c r="A298" s="23">
        <v>46055.824849536999</v>
      </c>
      <c r="B298" s="19" t="s">
        <v>26</v>
      </c>
      <c r="C298" s="19" t="s">
        <v>25</v>
      </c>
      <c r="D298" s="19" t="s">
        <v>69</v>
      </c>
      <c r="E298" s="19" t="s">
        <v>657</v>
      </c>
      <c r="F298" s="19" t="s">
        <v>658</v>
      </c>
      <c r="G298" s="19" t="s">
        <v>100</v>
      </c>
      <c r="H298" s="19">
        <v>35</v>
      </c>
      <c r="I298" s="19">
        <v>169</v>
      </c>
      <c r="J298" s="19" t="str">
        <f t="shared" si="4"/>
        <v>Feb</v>
      </c>
      <c r="K298" s="19" t="str">
        <f>IF(I298&lt;=Calc!$B$2,"Yes","No")</f>
        <v>No</v>
      </c>
      <c r="L298" s="19">
        <f>IF(AND(OR(Dashboard!$W$6="All",C298=Dashboard!$W$6),OR(Dashboard!$W$7="All",D298=Dashboard!$W$7)),1,0)</f>
        <v>1</v>
      </c>
      <c r="M298" s="19">
        <f>L298*IF(OR(Dashboard!$W$8="All",J298=Dashboard!$W$8),1,0)</f>
        <v>1</v>
      </c>
    </row>
    <row r="299" spans="1:13" x14ac:dyDescent="0.25">
      <c r="A299" s="23">
        <v>46055.857523148101</v>
      </c>
      <c r="B299" s="19" t="s">
        <v>30</v>
      </c>
      <c r="C299" s="19" t="s">
        <v>25</v>
      </c>
      <c r="D299" s="19" t="s">
        <v>65</v>
      </c>
      <c r="E299" s="19" t="s">
        <v>659</v>
      </c>
      <c r="F299" s="19" t="s">
        <v>660</v>
      </c>
      <c r="G299" s="19" t="s">
        <v>93</v>
      </c>
      <c r="H299" s="19">
        <v>30</v>
      </c>
      <c r="I299" s="19">
        <v>185</v>
      </c>
      <c r="J299" s="19" t="str">
        <f t="shared" si="4"/>
        <v>Feb</v>
      </c>
      <c r="K299" s="19" t="str">
        <f>IF(I299&lt;=Calc!$B$2,"Yes","No")</f>
        <v>No</v>
      </c>
      <c r="L299" s="19">
        <f>IF(AND(OR(Dashboard!$W$6="All",C299=Dashboard!$W$6),OR(Dashboard!$W$7="All",D299=Dashboard!$W$7)),1,0)</f>
        <v>1</v>
      </c>
      <c r="M299" s="19">
        <f>L299*IF(OR(Dashboard!$W$8="All",J299=Dashboard!$W$8),1,0)</f>
        <v>1</v>
      </c>
    </row>
    <row r="300" spans="1:13" x14ac:dyDescent="0.25">
      <c r="A300" s="23">
        <v>46056.309560185196</v>
      </c>
      <c r="B300" s="19" t="s">
        <v>26</v>
      </c>
      <c r="C300" s="19" t="s">
        <v>29</v>
      </c>
      <c r="D300" s="19" t="s">
        <v>65</v>
      </c>
      <c r="E300" s="19" t="s">
        <v>661</v>
      </c>
      <c r="F300" s="19" t="s">
        <v>662</v>
      </c>
      <c r="G300" s="19" t="s">
        <v>100</v>
      </c>
      <c r="H300" s="19">
        <v>31</v>
      </c>
      <c r="I300" s="19">
        <v>137</v>
      </c>
      <c r="J300" s="19" t="str">
        <f t="shared" si="4"/>
        <v>Feb</v>
      </c>
      <c r="K300" s="19" t="str">
        <f>IF(I300&lt;=Calc!$B$2,"Yes","No")</f>
        <v>No</v>
      </c>
      <c r="L300" s="19">
        <f>IF(AND(OR(Dashboard!$W$6="All",C300=Dashboard!$W$6),OR(Dashboard!$W$7="All",D300=Dashboard!$W$7)),1,0)</f>
        <v>1</v>
      </c>
      <c r="M300" s="19">
        <f>L300*IF(OR(Dashboard!$W$8="All",J300=Dashboard!$W$8),1,0)</f>
        <v>1</v>
      </c>
    </row>
    <row r="301" spans="1:13" x14ac:dyDescent="0.25">
      <c r="A301" s="23">
        <v>46056.311354166697</v>
      </c>
      <c r="B301" s="19" t="s">
        <v>30</v>
      </c>
      <c r="C301" s="19" t="s">
        <v>25</v>
      </c>
      <c r="D301" s="19" t="s">
        <v>53</v>
      </c>
      <c r="E301" s="19" t="s">
        <v>663</v>
      </c>
      <c r="F301" s="19" t="s">
        <v>664</v>
      </c>
      <c r="G301" s="19" t="s">
        <v>93</v>
      </c>
      <c r="H301" s="19">
        <v>26</v>
      </c>
      <c r="I301" s="19">
        <v>221</v>
      </c>
      <c r="J301" s="19" t="str">
        <f t="shared" si="4"/>
        <v>Feb</v>
      </c>
      <c r="K301" s="19" t="str">
        <f>IF(I301&lt;=Calc!$B$2,"Yes","No")</f>
        <v>No</v>
      </c>
      <c r="L301" s="19">
        <f>IF(AND(OR(Dashboard!$W$6="All",C301=Dashboard!$W$6),OR(Dashboard!$W$7="All",D301=Dashboard!$W$7)),1,0)</f>
        <v>1</v>
      </c>
      <c r="M301" s="19">
        <f>L301*IF(OR(Dashboard!$W$8="All",J301=Dashboard!$W$8),1,0)</f>
        <v>1</v>
      </c>
    </row>
    <row r="302" spans="1:13" x14ac:dyDescent="0.25">
      <c r="A302" s="23">
        <v>46056.386377314797</v>
      </c>
      <c r="B302" s="19" t="s">
        <v>35</v>
      </c>
      <c r="C302" s="19" t="s">
        <v>31</v>
      </c>
      <c r="D302" s="19" t="s">
        <v>65</v>
      </c>
      <c r="E302" s="19" t="s">
        <v>665</v>
      </c>
      <c r="F302" s="19" t="s">
        <v>666</v>
      </c>
      <c r="G302" s="19" t="s">
        <v>64</v>
      </c>
      <c r="H302" s="19">
        <v>19</v>
      </c>
      <c r="I302" s="19">
        <v>24</v>
      </c>
      <c r="J302" s="19" t="str">
        <f t="shared" si="4"/>
        <v>Feb</v>
      </c>
      <c r="K302" s="19" t="str">
        <f>IF(I302&lt;=Calc!$B$2,"Yes","No")</f>
        <v>Yes</v>
      </c>
      <c r="L302" s="19">
        <f>IF(AND(OR(Dashboard!$W$6="All",C302=Dashboard!$W$6),OR(Dashboard!$W$7="All",D302=Dashboard!$W$7)),1,0)</f>
        <v>1</v>
      </c>
      <c r="M302" s="19">
        <f>L302*IF(OR(Dashboard!$W$8="All",J302=Dashboard!$W$8),1,0)</f>
        <v>1</v>
      </c>
    </row>
    <row r="303" spans="1:13" x14ac:dyDescent="0.25">
      <c r="A303" s="23">
        <v>46056.5321527778</v>
      </c>
      <c r="B303" s="19" t="s">
        <v>26</v>
      </c>
      <c r="C303" s="19" t="s">
        <v>27</v>
      </c>
      <c r="D303" s="19" t="s">
        <v>73</v>
      </c>
      <c r="E303" s="19" t="s">
        <v>667</v>
      </c>
      <c r="F303" s="19" t="s">
        <v>668</v>
      </c>
      <c r="G303" s="19" t="s">
        <v>100</v>
      </c>
      <c r="H303" s="19">
        <v>20</v>
      </c>
      <c r="I303" s="19">
        <v>59</v>
      </c>
      <c r="J303" s="19" t="str">
        <f t="shared" si="4"/>
        <v>Feb</v>
      </c>
      <c r="K303" s="19" t="str">
        <f>IF(I303&lt;=Calc!$B$2,"Yes","No")</f>
        <v>Yes</v>
      </c>
      <c r="L303" s="19">
        <f>IF(AND(OR(Dashboard!$W$6="All",C303=Dashboard!$W$6),OR(Dashboard!$W$7="All",D303=Dashboard!$W$7)),1,0)</f>
        <v>1</v>
      </c>
      <c r="M303" s="19">
        <f>L303*IF(OR(Dashboard!$W$8="All",J303=Dashboard!$W$8),1,0)</f>
        <v>1</v>
      </c>
    </row>
    <row r="304" spans="1:13" x14ac:dyDescent="0.25">
      <c r="A304" s="23">
        <v>46056.562881944497</v>
      </c>
      <c r="B304" s="19" t="s">
        <v>30</v>
      </c>
      <c r="C304" s="19" t="s">
        <v>25</v>
      </c>
      <c r="D304" s="19" t="s">
        <v>73</v>
      </c>
      <c r="E304" s="19" t="s">
        <v>669</v>
      </c>
      <c r="F304" s="19" t="s">
        <v>670</v>
      </c>
      <c r="G304" s="19" t="s">
        <v>93</v>
      </c>
      <c r="H304" s="19">
        <v>43</v>
      </c>
      <c r="I304" s="19">
        <v>172</v>
      </c>
      <c r="J304" s="19" t="str">
        <f t="shared" si="4"/>
        <v>Feb</v>
      </c>
      <c r="K304" s="19" t="str">
        <f>IF(I304&lt;=Calc!$B$2,"Yes","No")</f>
        <v>No</v>
      </c>
      <c r="L304" s="19">
        <f>IF(AND(OR(Dashboard!$W$6="All",C304=Dashboard!$W$6),OR(Dashboard!$W$7="All",D304=Dashboard!$W$7)),1,0)</f>
        <v>1</v>
      </c>
      <c r="M304" s="19">
        <f>L304*IF(OR(Dashboard!$W$8="All",J304=Dashboard!$W$8),1,0)</f>
        <v>1</v>
      </c>
    </row>
    <row r="305" spans="1:13" x14ac:dyDescent="0.25">
      <c r="A305" s="23">
        <v>46056.816597222198</v>
      </c>
      <c r="B305" s="19" t="s">
        <v>26</v>
      </c>
      <c r="C305" s="19" t="s">
        <v>25</v>
      </c>
      <c r="D305" s="19" t="s">
        <v>69</v>
      </c>
      <c r="E305" s="19" t="s">
        <v>671</v>
      </c>
      <c r="F305" s="19" t="s">
        <v>672</v>
      </c>
      <c r="G305" s="19" t="s">
        <v>100</v>
      </c>
      <c r="H305" s="19">
        <v>32</v>
      </c>
      <c r="I305" s="19">
        <v>116</v>
      </c>
      <c r="J305" s="19" t="str">
        <f t="shared" si="4"/>
        <v>Feb</v>
      </c>
      <c r="K305" s="19" t="str">
        <f>IF(I305&lt;=Calc!$B$2,"Yes","No")</f>
        <v>No</v>
      </c>
      <c r="L305" s="19">
        <f>IF(AND(OR(Dashboard!$W$6="All",C305=Dashboard!$W$6),OR(Dashboard!$W$7="All",D305=Dashboard!$W$7)),1,0)</f>
        <v>1</v>
      </c>
      <c r="M305" s="19">
        <f>L305*IF(OR(Dashboard!$W$8="All",J305=Dashboard!$W$8),1,0)</f>
        <v>1</v>
      </c>
    </row>
    <row r="306" spans="1:13" x14ac:dyDescent="0.25">
      <c r="A306" s="23">
        <v>46056.954085648198</v>
      </c>
      <c r="B306" s="19" t="s">
        <v>28</v>
      </c>
      <c r="C306" s="19" t="s">
        <v>25</v>
      </c>
      <c r="D306" s="19" t="s">
        <v>65</v>
      </c>
      <c r="E306" s="19" t="s">
        <v>673</v>
      </c>
      <c r="F306" s="19" t="s">
        <v>674</v>
      </c>
      <c r="G306" s="19" t="s">
        <v>90</v>
      </c>
      <c r="H306" s="19">
        <v>30</v>
      </c>
      <c r="I306" s="19">
        <v>131</v>
      </c>
      <c r="J306" s="19" t="str">
        <f t="shared" si="4"/>
        <v>Feb</v>
      </c>
      <c r="K306" s="19" t="str">
        <f>IF(I306&lt;=Calc!$B$2,"Yes","No")</f>
        <v>No</v>
      </c>
      <c r="L306" s="19">
        <f>IF(AND(OR(Dashboard!$W$6="All",C306=Dashboard!$W$6),OR(Dashboard!$W$7="All",D306=Dashboard!$W$7)),1,0)</f>
        <v>1</v>
      </c>
      <c r="M306" s="19">
        <f>L306*IF(OR(Dashboard!$W$8="All",J306=Dashboard!$W$8),1,0)</f>
        <v>1</v>
      </c>
    </row>
    <row r="307" spans="1:13" x14ac:dyDescent="0.25">
      <c r="A307" s="23">
        <v>46057.230104166701</v>
      </c>
      <c r="B307" s="19" t="s">
        <v>30</v>
      </c>
      <c r="C307" s="19" t="s">
        <v>27</v>
      </c>
      <c r="D307" s="19" t="s">
        <v>73</v>
      </c>
      <c r="E307" s="19" t="s">
        <v>675</v>
      </c>
      <c r="F307" s="19" t="s">
        <v>676</v>
      </c>
      <c r="G307" s="19" t="s">
        <v>93</v>
      </c>
      <c r="H307" s="19">
        <v>1</v>
      </c>
      <c r="I307" s="19">
        <v>76</v>
      </c>
      <c r="J307" s="19" t="str">
        <f t="shared" si="4"/>
        <v>Feb</v>
      </c>
      <c r="K307" s="19" t="str">
        <f>IF(I307&lt;=Calc!$B$2,"Yes","No")</f>
        <v>No</v>
      </c>
      <c r="L307" s="19">
        <f>IF(AND(OR(Dashboard!$W$6="All",C307=Dashboard!$W$6),OR(Dashboard!$W$7="All",D307=Dashboard!$W$7)),1,0)</f>
        <v>1</v>
      </c>
      <c r="M307" s="19">
        <f>L307*IF(OR(Dashboard!$W$8="All",J307=Dashboard!$W$8),1,0)</f>
        <v>1</v>
      </c>
    </row>
    <row r="308" spans="1:13" x14ac:dyDescent="0.25">
      <c r="A308" s="23">
        <v>46057.386215277802</v>
      </c>
      <c r="B308" s="19" t="s">
        <v>30</v>
      </c>
      <c r="C308" s="19" t="s">
        <v>29</v>
      </c>
      <c r="D308" s="19" t="s">
        <v>53</v>
      </c>
      <c r="E308" s="19" t="s">
        <v>677</v>
      </c>
      <c r="F308" s="19" t="s">
        <v>678</v>
      </c>
      <c r="G308" s="19" t="s">
        <v>93</v>
      </c>
      <c r="H308" s="19">
        <v>11</v>
      </c>
      <c r="I308" s="19">
        <v>130</v>
      </c>
      <c r="J308" s="19" t="str">
        <f t="shared" si="4"/>
        <v>Feb</v>
      </c>
      <c r="K308" s="19" t="str">
        <f>IF(I308&lt;=Calc!$B$2,"Yes","No")</f>
        <v>No</v>
      </c>
      <c r="L308" s="19">
        <f>IF(AND(OR(Dashboard!$W$6="All",C308=Dashboard!$W$6),OR(Dashboard!$W$7="All",D308=Dashboard!$W$7)),1,0)</f>
        <v>1</v>
      </c>
      <c r="M308" s="19">
        <f>L308*IF(OR(Dashboard!$W$8="All",J308=Dashboard!$W$8),1,0)</f>
        <v>1</v>
      </c>
    </row>
    <row r="309" spans="1:13" x14ac:dyDescent="0.25">
      <c r="A309" s="23">
        <v>46057.503784722197</v>
      </c>
      <c r="B309" s="19" t="s">
        <v>26</v>
      </c>
      <c r="C309" s="19" t="s">
        <v>25</v>
      </c>
      <c r="D309" s="19" t="s">
        <v>53</v>
      </c>
      <c r="E309" s="19" t="s">
        <v>679</v>
      </c>
      <c r="F309" s="19" t="s">
        <v>680</v>
      </c>
      <c r="G309" s="19" t="s">
        <v>100</v>
      </c>
      <c r="H309" s="19">
        <v>45</v>
      </c>
      <c r="I309" s="19">
        <v>170</v>
      </c>
      <c r="J309" s="19" t="str">
        <f t="shared" si="4"/>
        <v>Feb</v>
      </c>
      <c r="K309" s="19" t="str">
        <f>IF(I309&lt;=Calc!$B$2,"Yes","No")</f>
        <v>No</v>
      </c>
      <c r="L309" s="19">
        <f>IF(AND(OR(Dashboard!$W$6="All",C309=Dashboard!$W$6),OR(Dashboard!$W$7="All",D309=Dashboard!$W$7)),1,0)</f>
        <v>1</v>
      </c>
      <c r="M309" s="19">
        <f>L309*IF(OR(Dashboard!$W$8="All",J309=Dashboard!$W$8),1,0)</f>
        <v>1</v>
      </c>
    </row>
    <row r="310" spans="1:13" x14ac:dyDescent="0.25">
      <c r="A310" s="23">
        <v>46057.644317129598</v>
      </c>
      <c r="B310" s="19" t="s">
        <v>32</v>
      </c>
      <c r="C310" s="19" t="s">
        <v>27</v>
      </c>
      <c r="D310" s="19" t="s">
        <v>53</v>
      </c>
      <c r="E310" s="19" t="s">
        <v>681</v>
      </c>
      <c r="F310" s="19" t="s">
        <v>682</v>
      </c>
      <c r="G310" s="19" t="s">
        <v>72</v>
      </c>
      <c r="H310" s="19">
        <v>11</v>
      </c>
      <c r="I310" s="19">
        <v>33</v>
      </c>
      <c r="J310" s="19" t="str">
        <f t="shared" si="4"/>
        <v>Feb</v>
      </c>
      <c r="K310" s="19" t="str">
        <f>IF(I310&lt;=Calc!$B$2,"Yes","No")</f>
        <v>Yes</v>
      </c>
      <c r="L310" s="19">
        <f>IF(AND(OR(Dashboard!$W$6="All",C310=Dashboard!$W$6),OR(Dashboard!$W$7="All",D310=Dashboard!$W$7)),1,0)</f>
        <v>1</v>
      </c>
      <c r="M310" s="19">
        <f>L310*IF(OR(Dashboard!$W$8="All",J310=Dashboard!$W$8),1,0)</f>
        <v>1</v>
      </c>
    </row>
    <row r="311" spans="1:13" x14ac:dyDescent="0.25">
      <c r="A311" s="23">
        <v>46057.8237731482</v>
      </c>
      <c r="B311" s="19" t="s">
        <v>28</v>
      </c>
      <c r="C311" s="19" t="s">
        <v>27</v>
      </c>
      <c r="D311" s="19" t="s">
        <v>65</v>
      </c>
      <c r="E311" s="19" t="s">
        <v>683</v>
      </c>
      <c r="F311" s="19" t="s">
        <v>684</v>
      </c>
      <c r="G311" s="19" t="s">
        <v>90</v>
      </c>
      <c r="H311" s="19">
        <v>24</v>
      </c>
      <c r="I311" s="19">
        <v>80</v>
      </c>
      <c r="J311" s="19" t="str">
        <f t="shared" si="4"/>
        <v>Feb</v>
      </c>
      <c r="K311" s="19" t="str">
        <f>IF(I311&lt;=Calc!$B$2,"Yes","No")</f>
        <v>No</v>
      </c>
      <c r="L311" s="19">
        <f>IF(AND(OR(Dashboard!$W$6="All",C311=Dashboard!$W$6),OR(Dashboard!$W$7="All",D311=Dashboard!$W$7)),1,0)</f>
        <v>1</v>
      </c>
      <c r="M311" s="19">
        <f>L311*IF(OR(Dashboard!$W$8="All",J311=Dashboard!$W$8),1,0)</f>
        <v>1</v>
      </c>
    </row>
    <row r="312" spans="1:13" x14ac:dyDescent="0.25">
      <c r="A312" s="23">
        <v>46057.834386574097</v>
      </c>
      <c r="B312" s="19" t="s">
        <v>26</v>
      </c>
      <c r="C312" s="19" t="s">
        <v>31</v>
      </c>
      <c r="D312" s="19" t="s">
        <v>53</v>
      </c>
      <c r="E312" s="19" t="s">
        <v>685</v>
      </c>
      <c r="F312" s="19" t="s">
        <v>686</v>
      </c>
      <c r="G312" s="19" t="s">
        <v>100</v>
      </c>
      <c r="H312" s="19">
        <v>21</v>
      </c>
      <c r="I312" s="19">
        <v>116</v>
      </c>
      <c r="J312" s="19" t="str">
        <f t="shared" si="4"/>
        <v>Feb</v>
      </c>
      <c r="K312" s="19" t="str">
        <f>IF(I312&lt;=Calc!$B$2,"Yes","No")</f>
        <v>No</v>
      </c>
      <c r="L312" s="19">
        <f>IF(AND(OR(Dashboard!$W$6="All",C312=Dashboard!$W$6),OR(Dashboard!$W$7="All",D312=Dashboard!$W$7)),1,0)</f>
        <v>1</v>
      </c>
      <c r="M312" s="19">
        <f>L312*IF(OR(Dashboard!$W$8="All",J312=Dashboard!$W$8),1,0)</f>
        <v>1</v>
      </c>
    </row>
    <row r="313" spans="1:13" x14ac:dyDescent="0.25">
      <c r="A313" s="23">
        <v>46057.866319444503</v>
      </c>
      <c r="B313" s="19" t="s">
        <v>28</v>
      </c>
      <c r="C313" s="19" t="s">
        <v>27</v>
      </c>
      <c r="D313" s="19" t="s">
        <v>65</v>
      </c>
      <c r="E313" s="19" t="s">
        <v>687</v>
      </c>
      <c r="F313" s="19" t="s">
        <v>688</v>
      </c>
      <c r="G313" s="19" t="s">
        <v>90</v>
      </c>
      <c r="H313" s="19">
        <v>32</v>
      </c>
      <c r="I313" s="19">
        <v>88</v>
      </c>
      <c r="J313" s="19" t="str">
        <f t="shared" si="4"/>
        <v>Feb</v>
      </c>
      <c r="K313" s="19" t="str">
        <f>IF(I313&lt;=Calc!$B$2,"Yes","No")</f>
        <v>No</v>
      </c>
      <c r="L313" s="19">
        <f>IF(AND(OR(Dashboard!$W$6="All",C313=Dashboard!$W$6),OR(Dashboard!$W$7="All",D313=Dashboard!$W$7)),1,0)</f>
        <v>1</v>
      </c>
      <c r="M313" s="19">
        <f>L313*IF(OR(Dashboard!$W$8="All",J313=Dashboard!$W$8),1,0)</f>
        <v>1</v>
      </c>
    </row>
    <row r="314" spans="1:13" x14ac:dyDescent="0.25">
      <c r="A314" s="23">
        <v>46057.906840277799</v>
      </c>
      <c r="B314" s="19" t="s">
        <v>32</v>
      </c>
      <c r="C314" s="19" t="s">
        <v>25</v>
      </c>
      <c r="D314" s="19" t="s">
        <v>69</v>
      </c>
      <c r="E314" s="19" t="s">
        <v>689</v>
      </c>
      <c r="F314" s="19" t="s">
        <v>690</v>
      </c>
      <c r="G314" s="19" t="s">
        <v>72</v>
      </c>
      <c r="H314" s="19">
        <v>12</v>
      </c>
      <c r="I314" s="19">
        <v>117</v>
      </c>
      <c r="J314" s="19" t="str">
        <f t="shared" si="4"/>
        <v>Feb</v>
      </c>
      <c r="K314" s="19" t="str">
        <f>IF(I314&lt;=Calc!$B$2,"Yes","No")</f>
        <v>No</v>
      </c>
      <c r="L314" s="19">
        <f>IF(AND(OR(Dashboard!$W$6="All",C314=Dashboard!$W$6),OR(Dashboard!$W$7="All",D314=Dashboard!$W$7)),1,0)</f>
        <v>1</v>
      </c>
      <c r="M314" s="19">
        <f>L314*IF(OR(Dashboard!$W$8="All",J314=Dashboard!$W$8),1,0)</f>
        <v>1</v>
      </c>
    </row>
    <row r="315" spans="1:13" x14ac:dyDescent="0.25">
      <c r="A315" s="23">
        <v>46057.927280092597</v>
      </c>
      <c r="B315" s="19" t="s">
        <v>28</v>
      </c>
      <c r="C315" s="19" t="s">
        <v>29</v>
      </c>
      <c r="D315" s="19" t="s">
        <v>53</v>
      </c>
      <c r="E315" s="19" t="s">
        <v>691</v>
      </c>
      <c r="F315" s="19" t="s">
        <v>692</v>
      </c>
      <c r="G315" s="19" t="s">
        <v>90</v>
      </c>
      <c r="H315" s="19">
        <v>18</v>
      </c>
      <c r="I315" s="19">
        <v>108</v>
      </c>
      <c r="J315" s="19" t="str">
        <f t="shared" si="4"/>
        <v>Feb</v>
      </c>
      <c r="K315" s="19" t="str">
        <f>IF(I315&lt;=Calc!$B$2,"Yes","No")</f>
        <v>No</v>
      </c>
      <c r="L315" s="19">
        <f>IF(AND(OR(Dashboard!$W$6="All",C315=Dashboard!$W$6),OR(Dashboard!$W$7="All",D315=Dashboard!$W$7)),1,0)</f>
        <v>1</v>
      </c>
      <c r="M315" s="19">
        <f>L315*IF(OR(Dashboard!$W$8="All",J315=Dashboard!$W$8),1,0)</f>
        <v>1</v>
      </c>
    </row>
    <row r="316" spans="1:13" x14ac:dyDescent="0.25">
      <c r="A316" s="23">
        <v>46058.125821759299</v>
      </c>
      <c r="B316" s="19" t="s">
        <v>28</v>
      </c>
      <c r="C316" s="19" t="s">
        <v>27</v>
      </c>
      <c r="D316" s="19" t="s">
        <v>65</v>
      </c>
      <c r="E316" s="19" t="s">
        <v>693</v>
      </c>
      <c r="F316" s="19" t="s">
        <v>694</v>
      </c>
      <c r="G316" s="19" t="s">
        <v>90</v>
      </c>
      <c r="H316" s="19">
        <v>2</v>
      </c>
      <c r="I316" s="19">
        <v>56</v>
      </c>
      <c r="J316" s="19" t="str">
        <f t="shared" si="4"/>
        <v>Feb</v>
      </c>
      <c r="K316" s="19" t="str">
        <f>IF(I316&lt;=Calc!$B$2,"Yes","No")</f>
        <v>Yes</v>
      </c>
      <c r="L316" s="19">
        <f>IF(AND(OR(Dashboard!$W$6="All",C316=Dashboard!$W$6),OR(Dashboard!$W$7="All",D316=Dashboard!$W$7)),1,0)</f>
        <v>1</v>
      </c>
      <c r="M316" s="19">
        <f>L316*IF(OR(Dashboard!$W$8="All",J316=Dashboard!$W$8),1,0)</f>
        <v>1</v>
      </c>
    </row>
    <row r="317" spans="1:13" x14ac:dyDescent="0.25">
      <c r="A317" s="23">
        <v>46058.161331018498</v>
      </c>
      <c r="B317" s="19" t="s">
        <v>32</v>
      </c>
      <c r="C317" s="19" t="s">
        <v>29</v>
      </c>
      <c r="D317" s="19" t="s">
        <v>65</v>
      </c>
      <c r="E317" s="19" t="s">
        <v>695</v>
      </c>
      <c r="F317" s="19" t="s">
        <v>696</v>
      </c>
      <c r="G317" s="19" t="s">
        <v>72</v>
      </c>
      <c r="H317" s="19">
        <v>31</v>
      </c>
      <c r="I317" s="19">
        <v>194</v>
      </c>
      <c r="J317" s="19" t="str">
        <f t="shared" si="4"/>
        <v>Feb</v>
      </c>
      <c r="K317" s="19" t="str">
        <f>IF(I317&lt;=Calc!$B$2,"Yes","No")</f>
        <v>No</v>
      </c>
      <c r="L317" s="19">
        <f>IF(AND(OR(Dashboard!$W$6="All",C317=Dashboard!$W$6),OR(Dashboard!$W$7="All",D317=Dashboard!$W$7)),1,0)</f>
        <v>1</v>
      </c>
      <c r="M317" s="19">
        <f>L317*IF(OR(Dashboard!$W$8="All",J317=Dashboard!$W$8),1,0)</f>
        <v>1</v>
      </c>
    </row>
    <row r="318" spans="1:13" x14ac:dyDescent="0.25">
      <c r="A318" s="23">
        <v>46058.168356481503</v>
      </c>
      <c r="B318" s="19" t="s">
        <v>35</v>
      </c>
      <c r="C318" s="19" t="s">
        <v>25</v>
      </c>
      <c r="D318" s="19" t="s">
        <v>73</v>
      </c>
      <c r="E318" s="19" t="s">
        <v>697</v>
      </c>
      <c r="F318" s="19" t="s">
        <v>698</v>
      </c>
      <c r="G318" s="19" t="s">
        <v>64</v>
      </c>
      <c r="H318" s="19">
        <v>31</v>
      </c>
      <c r="I318" s="19">
        <v>169</v>
      </c>
      <c r="J318" s="19" t="str">
        <f t="shared" si="4"/>
        <v>Feb</v>
      </c>
      <c r="K318" s="19" t="str">
        <f>IF(I318&lt;=Calc!$B$2,"Yes","No")</f>
        <v>No</v>
      </c>
      <c r="L318" s="19">
        <f>IF(AND(OR(Dashboard!$W$6="All",C318=Dashboard!$W$6),OR(Dashboard!$W$7="All",D318=Dashboard!$W$7)),1,0)</f>
        <v>1</v>
      </c>
      <c r="M318" s="19">
        <f>L318*IF(OR(Dashboard!$W$8="All",J318=Dashboard!$W$8),1,0)</f>
        <v>1</v>
      </c>
    </row>
    <row r="319" spans="1:13" x14ac:dyDescent="0.25">
      <c r="A319" s="23">
        <v>46058.521238425899</v>
      </c>
      <c r="B319" s="19" t="s">
        <v>26</v>
      </c>
      <c r="C319" s="19" t="s">
        <v>27</v>
      </c>
      <c r="D319" s="19" t="s">
        <v>53</v>
      </c>
      <c r="E319" s="19" t="s">
        <v>699</v>
      </c>
      <c r="F319" s="19" t="s">
        <v>700</v>
      </c>
      <c r="G319" s="19" t="s">
        <v>100</v>
      </c>
      <c r="H319" s="19">
        <v>20</v>
      </c>
      <c r="I319" s="19">
        <v>130</v>
      </c>
      <c r="J319" s="19" t="str">
        <f t="shared" si="4"/>
        <v>Feb</v>
      </c>
      <c r="K319" s="19" t="str">
        <f>IF(I319&lt;=Calc!$B$2,"Yes","No")</f>
        <v>No</v>
      </c>
      <c r="L319" s="19">
        <f>IF(AND(OR(Dashboard!$W$6="All",C319=Dashboard!$W$6),OR(Dashboard!$W$7="All",D319=Dashboard!$W$7)),1,0)</f>
        <v>1</v>
      </c>
      <c r="M319" s="19">
        <f>L319*IF(OR(Dashboard!$W$8="All",J319=Dashboard!$W$8),1,0)</f>
        <v>1</v>
      </c>
    </row>
    <row r="320" spans="1:13" x14ac:dyDescent="0.25">
      <c r="A320" s="23">
        <v>46058.9788541667</v>
      </c>
      <c r="B320" s="19" t="s">
        <v>35</v>
      </c>
      <c r="C320" s="19" t="s">
        <v>27</v>
      </c>
      <c r="D320" s="19" t="s">
        <v>65</v>
      </c>
      <c r="E320" s="19" t="s">
        <v>701</v>
      </c>
      <c r="F320" s="19" t="s">
        <v>702</v>
      </c>
      <c r="G320" s="19" t="s">
        <v>64</v>
      </c>
      <c r="H320" s="19">
        <v>8</v>
      </c>
      <c r="I320" s="19">
        <v>93</v>
      </c>
      <c r="J320" s="19" t="str">
        <f t="shared" si="4"/>
        <v>Feb</v>
      </c>
      <c r="K320" s="19" t="str">
        <f>IF(I320&lt;=Calc!$B$2,"Yes","No")</f>
        <v>No</v>
      </c>
      <c r="L320" s="19">
        <f>IF(AND(OR(Dashboard!$W$6="All",C320=Dashboard!$W$6),OR(Dashboard!$W$7="All",D320=Dashboard!$W$7)),1,0)</f>
        <v>1</v>
      </c>
      <c r="M320" s="19">
        <f>L320*IF(OR(Dashboard!$W$8="All",J320=Dashboard!$W$8),1,0)</f>
        <v>1</v>
      </c>
    </row>
    <row r="321" spans="1:13" x14ac:dyDescent="0.25">
      <c r="A321" s="23">
        <v>46059.004513888904</v>
      </c>
      <c r="B321" s="19" t="s">
        <v>30</v>
      </c>
      <c r="C321" s="19" t="s">
        <v>25</v>
      </c>
      <c r="D321" s="19" t="s">
        <v>69</v>
      </c>
      <c r="E321" s="19" t="s">
        <v>703</v>
      </c>
      <c r="F321" s="19" t="s">
        <v>704</v>
      </c>
      <c r="G321" s="19" t="s">
        <v>93</v>
      </c>
      <c r="H321" s="19">
        <v>36</v>
      </c>
      <c r="I321" s="19">
        <v>168</v>
      </c>
      <c r="J321" s="19" t="str">
        <f t="shared" si="4"/>
        <v>Feb</v>
      </c>
      <c r="K321" s="19" t="str">
        <f>IF(I321&lt;=Calc!$B$2,"Yes","No")</f>
        <v>No</v>
      </c>
      <c r="L321" s="19">
        <f>IF(AND(OR(Dashboard!$W$6="All",C321=Dashboard!$W$6),OR(Dashboard!$W$7="All",D321=Dashboard!$W$7)),1,0)</f>
        <v>1</v>
      </c>
      <c r="M321" s="19">
        <f>L321*IF(OR(Dashboard!$W$8="All",J321=Dashboard!$W$8),1,0)</f>
        <v>1</v>
      </c>
    </row>
    <row r="322" spans="1:13" x14ac:dyDescent="0.25">
      <c r="A322" s="23">
        <v>46059.090381944399</v>
      </c>
      <c r="B322" s="19" t="s">
        <v>32</v>
      </c>
      <c r="C322" s="19" t="s">
        <v>31</v>
      </c>
      <c r="D322" s="19" t="s">
        <v>73</v>
      </c>
      <c r="E322" s="19" t="s">
        <v>705</v>
      </c>
      <c r="F322" s="19" t="s">
        <v>706</v>
      </c>
      <c r="G322" s="19" t="s">
        <v>72</v>
      </c>
      <c r="H322" s="19">
        <v>1</v>
      </c>
      <c r="I322" s="19">
        <v>29</v>
      </c>
      <c r="J322" s="19" t="str">
        <f t="shared" ref="J322:J385" si="5">CHOOSE(MONTH(A322),"Jan","Feb","Mar","Apr","May","Jun","Jul","Aug","Sep","Oct","Nov","Dec")</f>
        <v>Feb</v>
      </c>
      <c r="K322" s="19" t="str">
        <f>IF(I322&lt;=Calc!$B$2,"Yes","No")</f>
        <v>Yes</v>
      </c>
      <c r="L322" s="19">
        <f>IF(AND(OR(Dashboard!$W$6="All",C322=Dashboard!$W$6),OR(Dashboard!$W$7="All",D322=Dashboard!$W$7)),1,0)</f>
        <v>1</v>
      </c>
      <c r="M322" s="19">
        <f>L322*IF(OR(Dashboard!$W$8="All",J322=Dashboard!$W$8),1,0)</f>
        <v>1</v>
      </c>
    </row>
    <row r="323" spans="1:13" x14ac:dyDescent="0.25">
      <c r="A323" s="23">
        <v>46059.224548611099</v>
      </c>
      <c r="B323" s="19" t="s">
        <v>36</v>
      </c>
      <c r="C323" s="19" t="s">
        <v>31</v>
      </c>
      <c r="D323" s="19" t="s">
        <v>69</v>
      </c>
      <c r="E323" s="19" t="s">
        <v>707</v>
      </c>
      <c r="F323" s="19" t="s">
        <v>708</v>
      </c>
      <c r="G323" s="19" t="s">
        <v>59</v>
      </c>
      <c r="H323" s="19">
        <v>27</v>
      </c>
      <c r="I323" s="19">
        <v>88</v>
      </c>
      <c r="J323" s="19" t="str">
        <f t="shared" si="5"/>
        <v>Feb</v>
      </c>
      <c r="K323" s="19" t="str">
        <f>IF(I323&lt;=Calc!$B$2,"Yes","No")</f>
        <v>No</v>
      </c>
      <c r="L323" s="19">
        <f>IF(AND(OR(Dashboard!$W$6="All",C323=Dashboard!$W$6),OR(Dashboard!$W$7="All",D323=Dashboard!$W$7)),1,0)</f>
        <v>1</v>
      </c>
      <c r="M323" s="19">
        <f>L323*IF(OR(Dashboard!$W$8="All",J323=Dashboard!$W$8),1,0)</f>
        <v>1</v>
      </c>
    </row>
    <row r="324" spans="1:13" x14ac:dyDescent="0.25">
      <c r="A324" s="23">
        <v>46059.450335648202</v>
      </c>
      <c r="B324" s="19" t="s">
        <v>34</v>
      </c>
      <c r="C324" s="19" t="s">
        <v>27</v>
      </c>
      <c r="D324" s="19" t="s">
        <v>69</v>
      </c>
      <c r="E324" s="19" t="s">
        <v>709</v>
      </c>
      <c r="F324" s="19" t="s">
        <v>710</v>
      </c>
      <c r="G324" s="19" t="s">
        <v>56</v>
      </c>
      <c r="H324" s="19">
        <v>5</v>
      </c>
      <c r="I324" s="19">
        <v>66</v>
      </c>
      <c r="J324" s="19" t="str">
        <f t="shared" si="5"/>
        <v>Feb</v>
      </c>
      <c r="K324" s="19" t="str">
        <f>IF(I324&lt;=Calc!$B$2,"Yes","No")</f>
        <v>No</v>
      </c>
      <c r="L324" s="19">
        <f>IF(AND(OR(Dashboard!$W$6="All",C324=Dashboard!$W$6),OR(Dashboard!$W$7="All",D324=Dashboard!$W$7)),1,0)</f>
        <v>1</v>
      </c>
      <c r="M324" s="19">
        <f>L324*IF(OR(Dashboard!$W$8="All",J324=Dashboard!$W$8),1,0)</f>
        <v>1</v>
      </c>
    </row>
    <row r="325" spans="1:13" x14ac:dyDescent="0.25">
      <c r="A325" s="23">
        <v>46059.564872685201</v>
      </c>
      <c r="B325" s="19" t="s">
        <v>32</v>
      </c>
      <c r="C325" s="19" t="s">
        <v>27</v>
      </c>
      <c r="D325" s="19" t="s">
        <v>53</v>
      </c>
      <c r="E325" s="19" t="s">
        <v>711</v>
      </c>
      <c r="F325" s="19" t="s">
        <v>712</v>
      </c>
      <c r="G325" s="19" t="s">
        <v>72</v>
      </c>
      <c r="H325" s="19">
        <v>9</v>
      </c>
      <c r="I325" s="19">
        <v>27</v>
      </c>
      <c r="J325" s="19" t="str">
        <f t="shared" si="5"/>
        <v>Feb</v>
      </c>
      <c r="K325" s="19" t="str">
        <f>IF(I325&lt;=Calc!$B$2,"Yes","No")</f>
        <v>Yes</v>
      </c>
      <c r="L325" s="19">
        <f>IF(AND(OR(Dashboard!$W$6="All",C325=Dashboard!$W$6),OR(Dashboard!$W$7="All",D325=Dashboard!$W$7)),1,0)</f>
        <v>1</v>
      </c>
      <c r="M325" s="19">
        <f>L325*IF(OR(Dashboard!$W$8="All",J325=Dashboard!$W$8),1,0)</f>
        <v>1</v>
      </c>
    </row>
    <row r="326" spans="1:13" x14ac:dyDescent="0.25">
      <c r="A326" s="23">
        <v>46059.586053240702</v>
      </c>
      <c r="B326" s="19" t="s">
        <v>30</v>
      </c>
      <c r="C326" s="19" t="s">
        <v>25</v>
      </c>
      <c r="D326" s="19" t="s">
        <v>73</v>
      </c>
      <c r="E326" s="19" t="s">
        <v>713</v>
      </c>
      <c r="F326" s="19" t="s">
        <v>714</v>
      </c>
      <c r="G326" s="19" t="s">
        <v>93</v>
      </c>
      <c r="H326" s="19">
        <v>41</v>
      </c>
      <c r="I326" s="19">
        <v>160</v>
      </c>
      <c r="J326" s="19" t="str">
        <f t="shared" si="5"/>
        <v>Feb</v>
      </c>
      <c r="K326" s="19" t="str">
        <f>IF(I326&lt;=Calc!$B$2,"Yes","No")</f>
        <v>No</v>
      </c>
      <c r="L326" s="19">
        <f>IF(AND(OR(Dashboard!$W$6="All",C326=Dashboard!$W$6),OR(Dashboard!$W$7="All",D326=Dashboard!$W$7)),1,0)</f>
        <v>1</v>
      </c>
      <c r="M326" s="19">
        <f>L326*IF(OR(Dashboard!$W$8="All",J326=Dashboard!$W$8),1,0)</f>
        <v>1</v>
      </c>
    </row>
    <row r="327" spans="1:13" x14ac:dyDescent="0.25">
      <c r="A327" s="23">
        <v>46059.677719907399</v>
      </c>
      <c r="B327" s="19" t="s">
        <v>26</v>
      </c>
      <c r="C327" s="19" t="s">
        <v>27</v>
      </c>
      <c r="D327" s="19" t="s">
        <v>69</v>
      </c>
      <c r="E327" s="19" t="s">
        <v>715</v>
      </c>
      <c r="F327" s="19" t="s">
        <v>716</v>
      </c>
      <c r="G327" s="19" t="s">
        <v>100</v>
      </c>
      <c r="H327" s="19">
        <v>14</v>
      </c>
      <c r="I327" s="19">
        <v>67</v>
      </c>
      <c r="J327" s="19" t="str">
        <f t="shared" si="5"/>
        <v>Feb</v>
      </c>
      <c r="K327" s="19" t="str">
        <f>IF(I327&lt;=Calc!$B$2,"Yes","No")</f>
        <v>No</v>
      </c>
      <c r="L327" s="19">
        <f>IF(AND(OR(Dashboard!$W$6="All",C327=Dashboard!$W$6),OR(Dashboard!$W$7="All",D327=Dashboard!$W$7)),1,0)</f>
        <v>1</v>
      </c>
      <c r="M327" s="19">
        <f>L327*IF(OR(Dashboard!$W$8="All",J327=Dashboard!$W$8),1,0)</f>
        <v>1</v>
      </c>
    </row>
    <row r="328" spans="1:13" x14ac:dyDescent="0.25">
      <c r="A328" s="23">
        <v>46059.762060185203</v>
      </c>
      <c r="B328" s="19" t="s">
        <v>28</v>
      </c>
      <c r="C328" s="19" t="s">
        <v>25</v>
      </c>
      <c r="D328" s="19" t="s">
        <v>73</v>
      </c>
      <c r="E328" s="19" t="s">
        <v>717</v>
      </c>
      <c r="F328" s="19" t="s">
        <v>718</v>
      </c>
      <c r="G328" s="19" t="s">
        <v>90</v>
      </c>
      <c r="H328" s="19">
        <v>36</v>
      </c>
      <c r="I328" s="19">
        <v>162</v>
      </c>
      <c r="J328" s="19" t="str">
        <f t="shared" si="5"/>
        <v>Feb</v>
      </c>
      <c r="K328" s="19" t="str">
        <f>IF(I328&lt;=Calc!$B$2,"Yes","No")</f>
        <v>No</v>
      </c>
      <c r="L328" s="19">
        <f>IF(AND(OR(Dashboard!$W$6="All",C328=Dashboard!$W$6),OR(Dashboard!$W$7="All",D328=Dashboard!$W$7)),1,0)</f>
        <v>1</v>
      </c>
      <c r="M328" s="19">
        <f>L328*IF(OR(Dashboard!$W$8="All",J328=Dashboard!$W$8),1,0)</f>
        <v>1</v>
      </c>
    </row>
    <row r="329" spans="1:13" x14ac:dyDescent="0.25">
      <c r="A329" s="23">
        <v>46059.958587963003</v>
      </c>
      <c r="B329" s="19" t="s">
        <v>28</v>
      </c>
      <c r="C329" s="19" t="s">
        <v>25</v>
      </c>
      <c r="D329" s="19" t="s">
        <v>53</v>
      </c>
      <c r="E329" s="19" t="s">
        <v>719</v>
      </c>
      <c r="F329" s="19" t="s">
        <v>720</v>
      </c>
      <c r="G329" s="19" t="s">
        <v>90</v>
      </c>
      <c r="H329" s="19">
        <v>13</v>
      </c>
      <c r="I329" s="19">
        <v>116</v>
      </c>
      <c r="J329" s="19" t="str">
        <f t="shared" si="5"/>
        <v>Feb</v>
      </c>
      <c r="K329" s="19" t="str">
        <f>IF(I329&lt;=Calc!$B$2,"Yes","No")</f>
        <v>No</v>
      </c>
      <c r="L329" s="19">
        <f>IF(AND(OR(Dashboard!$W$6="All",C329=Dashboard!$W$6),OR(Dashboard!$W$7="All",D329=Dashboard!$W$7)),1,0)</f>
        <v>1</v>
      </c>
      <c r="M329" s="19">
        <f>L329*IF(OR(Dashboard!$W$8="All",J329=Dashboard!$W$8),1,0)</f>
        <v>1</v>
      </c>
    </row>
    <row r="330" spans="1:13" x14ac:dyDescent="0.25">
      <c r="A330" s="23">
        <v>46059.965405092596</v>
      </c>
      <c r="B330" s="19" t="s">
        <v>35</v>
      </c>
      <c r="C330" s="19" t="s">
        <v>27</v>
      </c>
      <c r="D330" s="19" t="s">
        <v>53</v>
      </c>
      <c r="E330" s="19" t="s">
        <v>721</v>
      </c>
      <c r="F330" s="19" t="s">
        <v>722</v>
      </c>
      <c r="G330" s="19" t="s">
        <v>64</v>
      </c>
      <c r="H330" s="19">
        <v>9</v>
      </c>
      <c r="I330" s="19">
        <v>61</v>
      </c>
      <c r="J330" s="19" t="str">
        <f t="shared" si="5"/>
        <v>Feb</v>
      </c>
      <c r="K330" s="19" t="str">
        <f>IF(I330&lt;=Calc!$B$2,"Yes","No")</f>
        <v>No</v>
      </c>
      <c r="L330" s="19">
        <f>IF(AND(OR(Dashboard!$W$6="All",C330=Dashboard!$W$6),OR(Dashboard!$W$7="All",D330=Dashboard!$W$7)),1,0)</f>
        <v>1</v>
      </c>
      <c r="M330" s="19">
        <f>L330*IF(OR(Dashboard!$W$8="All",J330=Dashboard!$W$8),1,0)</f>
        <v>1</v>
      </c>
    </row>
    <row r="331" spans="1:13" x14ac:dyDescent="0.25">
      <c r="A331" s="23">
        <v>46060.026793981502</v>
      </c>
      <c r="B331" s="19" t="s">
        <v>33</v>
      </c>
      <c r="C331" s="19" t="s">
        <v>29</v>
      </c>
      <c r="D331" s="19" t="s">
        <v>69</v>
      </c>
      <c r="E331" s="19" t="s">
        <v>723</v>
      </c>
      <c r="F331" s="19" t="s">
        <v>724</v>
      </c>
      <c r="G331" s="19" t="s">
        <v>68</v>
      </c>
      <c r="H331" s="19">
        <v>32</v>
      </c>
      <c r="I331" s="19">
        <v>140</v>
      </c>
      <c r="J331" s="19" t="str">
        <f t="shared" si="5"/>
        <v>Feb</v>
      </c>
      <c r="K331" s="19" t="str">
        <f>IF(I331&lt;=Calc!$B$2,"Yes","No")</f>
        <v>No</v>
      </c>
      <c r="L331" s="19">
        <f>IF(AND(OR(Dashboard!$W$6="All",C331=Dashboard!$W$6),OR(Dashboard!$W$7="All",D331=Dashboard!$W$7)),1,0)</f>
        <v>1</v>
      </c>
      <c r="M331" s="19">
        <f>L331*IF(OR(Dashboard!$W$8="All",J331=Dashboard!$W$8),1,0)</f>
        <v>1</v>
      </c>
    </row>
    <row r="332" spans="1:13" x14ac:dyDescent="0.25">
      <c r="A332" s="23">
        <v>46060.0479976852</v>
      </c>
      <c r="B332" s="19" t="s">
        <v>36</v>
      </c>
      <c r="C332" s="19" t="s">
        <v>25</v>
      </c>
      <c r="D332" s="19" t="s">
        <v>73</v>
      </c>
      <c r="E332" s="19" t="s">
        <v>725</v>
      </c>
      <c r="F332" s="19" t="s">
        <v>726</v>
      </c>
      <c r="G332" s="19" t="s">
        <v>59</v>
      </c>
      <c r="H332" s="19">
        <v>28</v>
      </c>
      <c r="I332" s="19">
        <v>139</v>
      </c>
      <c r="J332" s="19" t="str">
        <f t="shared" si="5"/>
        <v>Feb</v>
      </c>
      <c r="K332" s="19" t="str">
        <f>IF(I332&lt;=Calc!$B$2,"Yes","No")</f>
        <v>No</v>
      </c>
      <c r="L332" s="19">
        <f>IF(AND(OR(Dashboard!$W$6="All",C332=Dashboard!$W$6),OR(Dashboard!$W$7="All",D332=Dashboard!$W$7)),1,0)</f>
        <v>1</v>
      </c>
      <c r="M332" s="19">
        <f>L332*IF(OR(Dashboard!$W$8="All",J332=Dashboard!$W$8),1,0)</f>
        <v>1</v>
      </c>
    </row>
    <row r="333" spans="1:13" x14ac:dyDescent="0.25">
      <c r="A333" s="23">
        <v>46060.153877314799</v>
      </c>
      <c r="B333" s="19" t="s">
        <v>32</v>
      </c>
      <c r="C333" s="19" t="s">
        <v>27</v>
      </c>
      <c r="D333" s="19" t="s">
        <v>65</v>
      </c>
      <c r="E333" s="19" t="s">
        <v>727</v>
      </c>
      <c r="F333" s="19" t="s">
        <v>728</v>
      </c>
      <c r="G333" s="19" t="s">
        <v>72</v>
      </c>
      <c r="H333" s="19">
        <v>7</v>
      </c>
      <c r="I333" s="19">
        <v>69</v>
      </c>
      <c r="J333" s="19" t="str">
        <f t="shared" si="5"/>
        <v>Feb</v>
      </c>
      <c r="K333" s="19" t="str">
        <f>IF(I333&lt;=Calc!$B$2,"Yes","No")</f>
        <v>No</v>
      </c>
      <c r="L333" s="19">
        <f>IF(AND(OR(Dashboard!$W$6="All",C333=Dashboard!$W$6),OR(Dashboard!$W$7="All",D333=Dashboard!$W$7)),1,0)</f>
        <v>1</v>
      </c>
      <c r="M333" s="19">
        <f>L333*IF(OR(Dashboard!$W$8="All",J333=Dashboard!$W$8),1,0)</f>
        <v>1</v>
      </c>
    </row>
    <row r="334" spans="1:13" x14ac:dyDescent="0.25">
      <c r="A334" s="23">
        <v>46060.449259259301</v>
      </c>
      <c r="B334" s="19" t="s">
        <v>30</v>
      </c>
      <c r="C334" s="19" t="s">
        <v>29</v>
      </c>
      <c r="D334" s="19" t="s">
        <v>69</v>
      </c>
      <c r="E334" s="19" t="s">
        <v>729</v>
      </c>
      <c r="F334" s="19" t="s">
        <v>730</v>
      </c>
      <c r="G334" s="19" t="s">
        <v>93</v>
      </c>
      <c r="H334" s="19">
        <v>37</v>
      </c>
      <c r="I334" s="19">
        <v>151</v>
      </c>
      <c r="J334" s="19" t="str">
        <f t="shared" si="5"/>
        <v>Feb</v>
      </c>
      <c r="K334" s="19" t="str">
        <f>IF(I334&lt;=Calc!$B$2,"Yes","No")</f>
        <v>No</v>
      </c>
      <c r="L334" s="19">
        <f>IF(AND(OR(Dashboard!$W$6="All",C334=Dashboard!$W$6),OR(Dashboard!$W$7="All",D334=Dashboard!$W$7)),1,0)</f>
        <v>1</v>
      </c>
      <c r="M334" s="19">
        <f>L334*IF(OR(Dashboard!$W$8="All",J334=Dashboard!$W$8),1,0)</f>
        <v>1</v>
      </c>
    </row>
    <row r="335" spans="1:13" x14ac:dyDescent="0.25">
      <c r="A335" s="23">
        <v>46060.527673611097</v>
      </c>
      <c r="B335" s="19" t="s">
        <v>26</v>
      </c>
      <c r="C335" s="19" t="s">
        <v>27</v>
      </c>
      <c r="D335" s="19" t="s">
        <v>65</v>
      </c>
      <c r="E335" s="19" t="s">
        <v>731</v>
      </c>
      <c r="F335" s="19" t="s">
        <v>732</v>
      </c>
      <c r="G335" s="19" t="s">
        <v>100</v>
      </c>
      <c r="H335" s="19">
        <v>9</v>
      </c>
      <c r="I335" s="19">
        <v>128</v>
      </c>
      <c r="J335" s="19" t="str">
        <f t="shared" si="5"/>
        <v>Feb</v>
      </c>
      <c r="K335" s="19" t="str">
        <f>IF(I335&lt;=Calc!$B$2,"Yes","No")</f>
        <v>No</v>
      </c>
      <c r="L335" s="19">
        <f>IF(AND(OR(Dashboard!$W$6="All",C335=Dashboard!$W$6),OR(Dashboard!$W$7="All",D335=Dashboard!$W$7)),1,0)</f>
        <v>1</v>
      </c>
      <c r="M335" s="19">
        <f>L335*IF(OR(Dashboard!$W$8="All",J335=Dashboard!$W$8),1,0)</f>
        <v>1</v>
      </c>
    </row>
    <row r="336" spans="1:13" x14ac:dyDescent="0.25">
      <c r="A336" s="23">
        <v>46060.5727430556</v>
      </c>
      <c r="B336" s="19" t="s">
        <v>28</v>
      </c>
      <c r="C336" s="19" t="s">
        <v>31</v>
      </c>
      <c r="D336" s="19" t="s">
        <v>65</v>
      </c>
      <c r="E336" s="19" t="s">
        <v>733</v>
      </c>
      <c r="F336" s="19" t="s">
        <v>734</v>
      </c>
      <c r="G336" s="19" t="s">
        <v>90</v>
      </c>
      <c r="H336" s="19">
        <v>13</v>
      </c>
      <c r="I336" s="19">
        <v>37</v>
      </c>
      <c r="J336" s="19" t="str">
        <f t="shared" si="5"/>
        <v>Feb</v>
      </c>
      <c r="K336" s="19" t="str">
        <f>IF(I336&lt;=Calc!$B$2,"Yes","No")</f>
        <v>Yes</v>
      </c>
      <c r="L336" s="19">
        <f>IF(AND(OR(Dashboard!$W$6="All",C336=Dashboard!$W$6),OR(Dashboard!$W$7="All",D336=Dashboard!$W$7)),1,0)</f>
        <v>1</v>
      </c>
      <c r="M336" s="19">
        <f>L336*IF(OR(Dashboard!$W$8="All",J336=Dashboard!$W$8),1,0)</f>
        <v>1</v>
      </c>
    </row>
    <row r="337" spans="1:13" x14ac:dyDescent="0.25">
      <c r="A337" s="23">
        <v>46060.697754629597</v>
      </c>
      <c r="B337" s="19" t="s">
        <v>34</v>
      </c>
      <c r="C337" s="19" t="s">
        <v>27</v>
      </c>
      <c r="D337" s="19" t="s">
        <v>73</v>
      </c>
      <c r="E337" s="19" t="s">
        <v>735</v>
      </c>
      <c r="F337" s="19" t="s">
        <v>736</v>
      </c>
      <c r="G337" s="19" t="s">
        <v>56</v>
      </c>
      <c r="H337" s="19">
        <v>14</v>
      </c>
      <c r="I337" s="19">
        <v>105</v>
      </c>
      <c r="J337" s="19" t="str">
        <f t="shared" si="5"/>
        <v>Feb</v>
      </c>
      <c r="K337" s="19" t="str">
        <f>IF(I337&lt;=Calc!$B$2,"Yes","No")</f>
        <v>No</v>
      </c>
      <c r="L337" s="19">
        <f>IF(AND(OR(Dashboard!$W$6="All",C337=Dashboard!$W$6),OR(Dashboard!$W$7="All",D337=Dashboard!$W$7)),1,0)</f>
        <v>1</v>
      </c>
      <c r="M337" s="19">
        <f>L337*IF(OR(Dashboard!$W$8="All",J337=Dashboard!$W$8),1,0)</f>
        <v>1</v>
      </c>
    </row>
    <row r="338" spans="1:13" x14ac:dyDescent="0.25">
      <c r="A338" s="23">
        <v>46060.850312499999</v>
      </c>
      <c r="B338" s="19" t="s">
        <v>35</v>
      </c>
      <c r="C338" s="19" t="s">
        <v>29</v>
      </c>
      <c r="D338" s="19" t="s">
        <v>53</v>
      </c>
      <c r="E338" s="19" t="s">
        <v>737</v>
      </c>
      <c r="F338" s="19" t="s">
        <v>738</v>
      </c>
      <c r="G338" s="19" t="s">
        <v>64</v>
      </c>
      <c r="H338" s="19">
        <v>49</v>
      </c>
      <c r="I338" s="19">
        <v>204</v>
      </c>
      <c r="J338" s="19" t="str">
        <f t="shared" si="5"/>
        <v>Feb</v>
      </c>
      <c r="K338" s="19" t="str">
        <f>IF(I338&lt;=Calc!$B$2,"Yes","No")</f>
        <v>No</v>
      </c>
      <c r="L338" s="19">
        <f>IF(AND(OR(Dashboard!$W$6="All",C338=Dashboard!$W$6),OR(Dashboard!$W$7="All",D338=Dashboard!$W$7)),1,0)</f>
        <v>1</v>
      </c>
      <c r="M338" s="19">
        <f>L338*IF(OR(Dashboard!$W$8="All",J338=Dashboard!$W$8),1,0)</f>
        <v>1</v>
      </c>
    </row>
    <row r="339" spans="1:13" x14ac:dyDescent="0.25">
      <c r="A339" s="23">
        <v>46061.020717592597</v>
      </c>
      <c r="B339" s="19" t="s">
        <v>30</v>
      </c>
      <c r="C339" s="19" t="s">
        <v>29</v>
      </c>
      <c r="D339" s="19" t="s">
        <v>65</v>
      </c>
      <c r="E339" s="19" t="s">
        <v>739</v>
      </c>
      <c r="F339" s="19" t="s">
        <v>740</v>
      </c>
      <c r="G339" s="19" t="s">
        <v>93</v>
      </c>
      <c r="H339" s="19">
        <v>53</v>
      </c>
      <c r="I339" s="19">
        <v>149</v>
      </c>
      <c r="J339" s="19" t="str">
        <f t="shared" si="5"/>
        <v>Feb</v>
      </c>
      <c r="K339" s="19" t="str">
        <f>IF(I339&lt;=Calc!$B$2,"Yes","No")</f>
        <v>No</v>
      </c>
      <c r="L339" s="19">
        <f>IF(AND(OR(Dashboard!$W$6="All",C339=Dashboard!$W$6),OR(Dashboard!$W$7="All",D339=Dashboard!$W$7)),1,0)</f>
        <v>1</v>
      </c>
      <c r="M339" s="19">
        <f>L339*IF(OR(Dashboard!$W$8="All",J339=Dashboard!$W$8),1,0)</f>
        <v>1</v>
      </c>
    </row>
    <row r="340" spans="1:13" x14ac:dyDescent="0.25">
      <c r="A340" s="23">
        <v>46061.145115740699</v>
      </c>
      <c r="B340" s="19" t="s">
        <v>26</v>
      </c>
      <c r="C340" s="19" t="s">
        <v>25</v>
      </c>
      <c r="D340" s="19" t="s">
        <v>53</v>
      </c>
      <c r="E340" s="19" t="s">
        <v>741</v>
      </c>
      <c r="F340" s="19" t="s">
        <v>742</v>
      </c>
      <c r="G340" s="19" t="s">
        <v>100</v>
      </c>
      <c r="H340" s="19">
        <v>38</v>
      </c>
      <c r="I340" s="19">
        <v>194</v>
      </c>
      <c r="J340" s="19" t="str">
        <f t="shared" si="5"/>
        <v>Feb</v>
      </c>
      <c r="K340" s="19" t="str">
        <f>IF(I340&lt;=Calc!$B$2,"Yes","No")</f>
        <v>No</v>
      </c>
      <c r="L340" s="19">
        <f>IF(AND(OR(Dashboard!$W$6="All",C340=Dashboard!$W$6),OR(Dashboard!$W$7="All",D340=Dashboard!$W$7)),1,0)</f>
        <v>1</v>
      </c>
      <c r="M340" s="19">
        <f>L340*IF(OR(Dashboard!$W$8="All",J340=Dashboard!$W$8),1,0)</f>
        <v>1</v>
      </c>
    </row>
    <row r="341" spans="1:13" x14ac:dyDescent="0.25">
      <c r="A341" s="23">
        <v>46061.394895833299</v>
      </c>
      <c r="B341" s="19" t="s">
        <v>28</v>
      </c>
      <c r="C341" s="19" t="s">
        <v>25</v>
      </c>
      <c r="D341" s="19" t="s">
        <v>73</v>
      </c>
      <c r="E341" s="19" t="s">
        <v>743</v>
      </c>
      <c r="F341" s="19" t="s">
        <v>744</v>
      </c>
      <c r="G341" s="19" t="s">
        <v>90</v>
      </c>
      <c r="H341" s="19">
        <v>26</v>
      </c>
      <c r="I341" s="19">
        <v>106</v>
      </c>
      <c r="J341" s="19" t="str">
        <f t="shared" si="5"/>
        <v>Feb</v>
      </c>
      <c r="K341" s="19" t="str">
        <f>IF(I341&lt;=Calc!$B$2,"Yes","No")</f>
        <v>No</v>
      </c>
      <c r="L341" s="19">
        <f>IF(AND(OR(Dashboard!$W$6="All",C341=Dashboard!$W$6),OR(Dashboard!$W$7="All",D341=Dashboard!$W$7)),1,0)</f>
        <v>1</v>
      </c>
      <c r="M341" s="19">
        <f>L341*IF(OR(Dashboard!$W$8="All",J341=Dashboard!$W$8),1,0)</f>
        <v>1</v>
      </c>
    </row>
    <row r="342" spans="1:13" x14ac:dyDescent="0.25">
      <c r="A342" s="23">
        <v>46061.544340277796</v>
      </c>
      <c r="B342" s="19" t="s">
        <v>30</v>
      </c>
      <c r="C342" s="19" t="s">
        <v>25</v>
      </c>
      <c r="D342" s="19" t="s">
        <v>53</v>
      </c>
      <c r="E342" s="19" t="s">
        <v>745</v>
      </c>
      <c r="F342" s="19" t="s">
        <v>746</v>
      </c>
      <c r="G342" s="19" t="s">
        <v>93</v>
      </c>
      <c r="H342" s="19">
        <v>32</v>
      </c>
      <c r="I342" s="19">
        <v>148</v>
      </c>
      <c r="J342" s="19" t="str">
        <f t="shared" si="5"/>
        <v>Feb</v>
      </c>
      <c r="K342" s="19" t="str">
        <f>IF(I342&lt;=Calc!$B$2,"Yes","No")</f>
        <v>No</v>
      </c>
      <c r="L342" s="19">
        <f>IF(AND(OR(Dashboard!$W$6="All",C342=Dashboard!$W$6),OR(Dashboard!$W$7="All",D342=Dashboard!$W$7)),1,0)</f>
        <v>1</v>
      </c>
      <c r="M342" s="19">
        <f>L342*IF(OR(Dashboard!$W$8="All",J342=Dashboard!$W$8),1,0)</f>
        <v>1</v>
      </c>
    </row>
    <row r="343" spans="1:13" x14ac:dyDescent="0.25">
      <c r="A343" s="23">
        <v>46061.559675925899</v>
      </c>
      <c r="B343" s="19" t="s">
        <v>33</v>
      </c>
      <c r="C343" s="19" t="s">
        <v>25</v>
      </c>
      <c r="D343" s="19" t="s">
        <v>73</v>
      </c>
      <c r="E343" s="19" t="s">
        <v>747</v>
      </c>
      <c r="F343" s="19" t="s">
        <v>748</v>
      </c>
      <c r="G343" s="19" t="s">
        <v>68</v>
      </c>
      <c r="H343" s="19">
        <v>21</v>
      </c>
      <c r="I343" s="19">
        <v>90</v>
      </c>
      <c r="J343" s="19" t="str">
        <f t="shared" si="5"/>
        <v>Feb</v>
      </c>
      <c r="K343" s="19" t="str">
        <f>IF(I343&lt;=Calc!$B$2,"Yes","No")</f>
        <v>No</v>
      </c>
      <c r="L343" s="19">
        <f>IF(AND(OR(Dashboard!$W$6="All",C343=Dashboard!$W$6),OR(Dashboard!$W$7="All",D343=Dashboard!$W$7)),1,0)</f>
        <v>1</v>
      </c>
      <c r="M343" s="19">
        <f>L343*IF(OR(Dashboard!$W$8="All",J343=Dashboard!$W$8),1,0)</f>
        <v>1</v>
      </c>
    </row>
    <row r="344" spans="1:13" x14ac:dyDescent="0.25">
      <c r="A344" s="23">
        <v>46061.614374999997</v>
      </c>
      <c r="B344" s="19" t="s">
        <v>32</v>
      </c>
      <c r="C344" s="19" t="s">
        <v>27</v>
      </c>
      <c r="D344" s="19" t="s">
        <v>73</v>
      </c>
      <c r="E344" s="19" t="s">
        <v>749</v>
      </c>
      <c r="F344" s="19" t="s">
        <v>750</v>
      </c>
      <c r="G344" s="19" t="s">
        <v>72</v>
      </c>
      <c r="H344" s="19">
        <v>25</v>
      </c>
      <c r="I344" s="19">
        <v>41</v>
      </c>
      <c r="J344" s="19" t="str">
        <f t="shared" si="5"/>
        <v>Feb</v>
      </c>
      <c r="K344" s="19" t="str">
        <f>IF(I344&lt;=Calc!$B$2,"Yes","No")</f>
        <v>Yes</v>
      </c>
      <c r="L344" s="19">
        <f>IF(AND(OR(Dashboard!$W$6="All",C344=Dashboard!$W$6),OR(Dashboard!$W$7="All",D344=Dashboard!$W$7)),1,0)</f>
        <v>1</v>
      </c>
      <c r="M344" s="19">
        <f>L344*IF(OR(Dashboard!$W$8="All",J344=Dashboard!$W$8),1,0)</f>
        <v>1</v>
      </c>
    </row>
    <row r="345" spans="1:13" x14ac:dyDescent="0.25">
      <c r="A345" s="23">
        <v>46061.712858796302</v>
      </c>
      <c r="B345" s="19" t="s">
        <v>28</v>
      </c>
      <c r="C345" s="19" t="s">
        <v>25</v>
      </c>
      <c r="D345" s="19" t="s">
        <v>53</v>
      </c>
      <c r="E345" s="19" t="s">
        <v>751</v>
      </c>
      <c r="F345" s="19" t="s">
        <v>752</v>
      </c>
      <c r="G345" s="19" t="s">
        <v>90</v>
      </c>
      <c r="H345" s="19">
        <v>13</v>
      </c>
      <c r="I345" s="19">
        <v>161</v>
      </c>
      <c r="J345" s="19" t="str">
        <f t="shared" si="5"/>
        <v>Feb</v>
      </c>
      <c r="K345" s="19" t="str">
        <f>IF(I345&lt;=Calc!$B$2,"Yes","No")</f>
        <v>No</v>
      </c>
      <c r="L345" s="19">
        <f>IF(AND(OR(Dashboard!$W$6="All",C345=Dashboard!$W$6),OR(Dashboard!$W$7="All",D345=Dashboard!$W$7)),1,0)</f>
        <v>1</v>
      </c>
      <c r="M345" s="19">
        <f>L345*IF(OR(Dashboard!$W$8="All",J345=Dashboard!$W$8),1,0)</f>
        <v>1</v>
      </c>
    </row>
    <row r="346" spans="1:13" x14ac:dyDescent="0.25">
      <c r="A346" s="23">
        <v>46061.8024421296</v>
      </c>
      <c r="B346" s="19" t="s">
        <v>35</v>
      </c>
      <c r="C346" s="19" t="s">
        <v>25</v>
      </c>
      <c r="D346" s="19" t="s">
        <v>53</v>
      </c>
      <c r="E346" s="19" t="s">
        <v>753</v>
      </c>
      <c r="F346" s="19" t="s">
        <v>754</v>
      </c>
      <c r="G346" s="19" t="s">
        <v>64</v>
      </c>
      <c r="H346" s="19">
        <v>28</v>
      </c>
      <c r="I346" s="19">
        <v>119</v>
      </c>
      <c r="J346" s="19" t="str">
        <f t="shared" si="5"/>
        <v>Feb</v>
      </c>
      <c r="K346" s="19" t="str">
        <f>IF(I346&lt;=Calc!$B$2,"Yes","No")</f>
        <v>No</v>
      </c>
      <c r="L346" s="19">
        <f>IF(AND(OR(Dashboard!$W$6="All",C346=Dashboard!$W$6),OR(Dashboard!$W$7="All",D346=Dashboard!$W$7)),1,0)</f>
        <v>1</v>
      </c>
      <c r="M346" s="19">
        <f>L346*IF(OR(Dashboard!$W$8="All",J346=Dashboard!$W$8),1,0)</f>
        <v>1</v>
      </c>
    </row>
    <row r="347" spans="1:13" x14ac:dyDescent="0.25">
      <c r="A347" s="23">
        <v>46061.892615740697</v>
      </c>
      <c r="B347" s="19" t="s">
        <v>30</v>
      </c>
      <c r="C347" s="19" t="s">
        <v>27</v>
      </c>
      <c r="D347" s="19" t="s">
        <v>73</v>
      </c>
      <c r="E347" s="19" t="s">
        <v>755</v>
      </c>
      <c r="F347" s="19" t="s">
        <v>756</v>
      </c>
      <c r="G347" s="19" t="s">
        <v>93</v>
      </c>
      <c r="H347" s="19">
        <v>15</v>
      </c>
      <c r="I347" s="19">
        <v>46</v>
      </c>
      <c r="J347" s="19" t="str">
        <f t="shared" si="5"/>
        <v>Feb</v>
      </c>
      <c r="K347" s="19" t="str">
        <f>IF(I347&lt;=Calc!$B$2,"Yes","No")</f>
        <v>Yes</v>
      </c>
      <c r="L347" s="19">
        <f>IF(AND(OR(Dashboard!$W$6="All",C347=Dashboard!$W$6),OR(Dashboard!$W$7="All",D347=Dashboard!$W$7)),1,0)</f>
        <v>1</v>
      </c>
      <c r="M347" s="19">
        <f>L347*IF(OR(Dashboard!$W$8="All",J347=Dashboard!$W$8),1,0)</f>
        <v>1</v>
      </c>
    </row>
    <row r="348" spans="1:13" x14ac:dyDescent="0.25">
      <c r="A348" s="23">
        <v>46061.912291666697</v>
      </c>
      <c r="B348" s="19" t="s">
        <v>26</v>
      </c>
      <c r="C348" s="19" t="s">
        <v>25</v>
      </c>
      <c r="D348" s="19" t="s">
        <v>53</v>
      </c>
      <c r="E348" s="19" t="s">
        <v>757</v>
      </c>
      <c r="F348" s="19" t="s">
        <v>758</v>
      </c>
      <c r="G348" s="19" t="s">
        <v>100</v>
      </c>
      <c r="H348" s="19">
        <v>38</v>
      </c>
      <c r="I348" s="19">
        <v>129</v>
      </c>
      <c r="J348" s="19" t="str">
        <f t="shared" si="5"/>
        <v>Feb</v>
      </c>
      <c r="K348" s="19" t="str">
        <f>IF(I348&lt;=Calc!$B$2,"Yes","No")</f>
        <v>No</v>
      </c>
      <c r="L348" s="19">
        <f>IF(AND(OR(Dashboard!$W$6="All",C348=Dashboard!$W$6),OR(Dashboard!$W$7="All",D348=Dashboard!$W$7)),1,0)</f>
        <v>1</v>
      </c>
      <c r="M348" s="19">
        <f>L348*IF(OR(Dashboard!$W$8="All",J348=Dashboard!$W$8),1,0)</f>
        <v>1</v>
      </c>
    </row>
    <row r="349" spans="1:13" x14ac:dyDescent="0.25">
      <c r="A349" s="23">
        <v>46062.003125000003</v>
      </c>
      <c r="B349" s="19" t="s">
        <v>32</v>
      </c>
      <c r="C349" s="19" t="s">
        <v>29</v>
      </c>
      <c r="D349" s="19" t="s">
        <v>73</v>
      </c>
      <c r="E349" s="19" t="s">
        <v>759</v>
      </c>
      <c r="F349" s="19" t="s">
        <v>760</v>
      </c>
      <c r="G349" s="19" t="s">
        <v>72</v>
      </c>
      <c r="H349" s="19">
        <v>18</v>
      </c>
      <c r="I349" s="19">
        <v>161</v>
      </c>
      <c r="J349" s="19" t="str">
        <f t="shared" si="5"/>
        <v>Feb</v>
      </c>
      <c r="K349" s="19" t="str">
        <f>IF(I349&lt;=Calc!$B$2,"Yes","No")</f>
        <v>No</v>
      </c>
      <c r="L349" s="19">
        <f>IF(AND(OR(Dashboard!$W$6="All",C349=Dashboard!$W$6),OR(Dashboard!$W$7="All",D349=Dashboard!$W$7)),1,0)</f>
        <v>1</v>
      </c>
      <c r="M349" s="19">
        <f>L349*IF(OR(Dashboard!$W$8="All",J349=Dashboard!$W$8),1,0)</f>
        <v>1</v>
      </c>
    </row>
    <row r="350" spans="1:13" x14ac:dyDescent="0.25">
      <c r="A350" s="23">
        <v>46062.165439814802</v>
      </c>
      <c r="B350" s="19" t="s">
        <v>26</v>
      </c>
      <c r="C350" s="19" t="s">
        <v>31</v>
      </c>
      <c r="D350" s="19" t="s">
        <v>69</v>
      </c>
      <c r="E350" s="19" t="s">
        <v>761</v>
      </c>
      <c r="F350" s="19" t="s">
        <v>762</v>
      </c>
      <c r="G350" s="19" t="s">
        <v>100</v>
      </c>
      <c r="H350" s="19">
        <v>10</v>
      </c>
      <c r="I350" s="19">
        <v>84</v>
      </c>
      <c r="J350" s="19" t="str">
        <f t="shared" si="5"/>
        <v>Feb</v>
      </c>
      <c r="K350" s="19" t="str">
        <f>IF(I350&lt;=Calc!$B$2,"Yes","No")</f>
        <v>No</v>
      </c>
      <c r="L350" s="19">
        <f>IF(AND(OR(Dashboard!$W$6="All",C350=Dashboard!$W$6),OR(Dashboard!$W$7="All",D350=Dashboard!$W$7)),1,0)</f>
        <v>1</v>
      </c>
      <c r="M350" s="19">
        <f>L350*IF(OR(Dashboard!$W$8="All",J350=Dashboard!$W$8),1,0)</f>
        <v>1</v>
      </c>
    </row>
    <row r="351" spans="1:13" x14ac:dyDescent="0.25">
      <c r="A351" s="23">
        <v>46062.241504629601</v>
      </c>
      <c r="B351" s="19" t="s">
        <v>34</v>
      </c>
      <c r="C351" s="19" t="s">
        <v>25</v>
      </c>
      <c r="D351" s="19" t="s">
        <v>73</v>
      </c>
      <c r="E351" s="19" t="s">
        <v>763</v>
      </c>
      <c r="F351" s="19" t="s">
        <v>764</v>
      </c>
      <c r="G351" s="19" t="s">
        <v>56</v>
      </c>
      <c r="H351" s="19">
        <v>29</v>
      </c>
      <c r="I351" s="19">
        <v>163</v>
      </c>
      <c r="J351" s="19" t="str">
        <f t="shared" si="5"/>
        <v>Feb</v>
      </c>
      <c r="K351" s="19" t="str">
        <f>IF(I351&lt;=Calc!$B$2,"Yes","No")</f>
        <v>No</v>
      </c>
      <c r="L351" s="19">
        <f>IF(AND(OR(Dashboard!$W$6="All",C351=Dashboard!$W$6),OR(Dashboard!$W$7="All",D351=Dashboard!$W$7)),1,0)</f>
        <v>1</v>
      </c>
      <c r="M351" s="19">
        <f>L351*IF(OR(Dashboard!$W$8="All",J351=Dashboard!$W$8),1,0)</f>
        <v>1</v>
      </c>
    </row>
    <row r="352" spans="1:13" x14ac:dyDescent="0.25">
      <c r="A352" s="23">
        <v>46062.255254629599</v>
      </c>
      <c r="B352" s="19" t="s">
        <v>36</v>
      </c>
      <c r="C352" s="19" t="s">
        <v>25</v>
      </c>
      <c r="D352" s="19" t="s">
        <v>69</v>
      </c>
      <c r="E352" s="19" t="s">
        <v>765</v>
      </c>
      <c r="F352" s="19" t="s">
        <v>766</v>
      </c>
      <c r="G352" s="19" t="s">
        <v>59</v>
      </c>
      <c r="H352" s="19">
        <v>22</v>
      </c>
      <c r="I352" s="19">
        <v>180</v>
      </c>
      <c r="J352" s="19" t="str">
        <f t="shared" si="5"/>
        <v>Feb</v>
      </c>
      <c r="K352" s="19" t="str">
        <f>IF(I352&lt;=Calc!$B$2,"Yes","No")</f>
        <v>No</v>
      </c>
      <c r="L352" s="19">
        <f>IF(AND(OR(Dashboard!$W$6="All",C352=Dashboard!$W$6),OR(Dashboard!$W$7="All",D352=Dashboard!$W$7)),1,0)</f>
        <v>1</v>
      </c>
      <c r="M352" s="19">
        <f>L352*IF(OR(Dashboard!$W$8="All",J352=Dashboard!$W$8),1,0)</f>
        <v>1</v>
      </c>
    </row>
    <row r="353" spans="1:13" x14ac:dyDescent="0.25">
      <c r="A353" s="23">
        <v>46062.299525463</v>
      </c>
      <c r="B353" s="19" t="s">
        <v>30</v>
      </c>
      <c r="C353" s="19" t="s">
        <v>27</v>
      </c>
      <c r="D353" s="19" t="s">
        <v>73</v>
      </c>
      <c r="E353" s="19" t="s">
        <v>767</v>
      </c>
      <c r="F353" s="19" t="s">
        <v>768</v>
      </c>
      <c r="G353" s="19" t="s">
        <v>93</v>
      </c>
      <c r="H353" s="19">
        <v>2</v>
      </c>
      <c r="I353" s="19">
        <v>81</v>
      </c>
      <c r="J353" s="19" t="str">
        <f t="shared" si="5"/>
        <v>Feb</v>
      </c>
      <c r="K353" s="19" t="str">
        <f>IF(I353&lt;=Calc!$B$2,"Yes","No")</f>
        <v>No</v>
      </c>
      <c r="L353" s="19">
        <f>IF(AND(OR(Dashboard!$W$6="All",C353=Dashboard!$W$6),OR(Dashboard!$W$7="All",D353=Dashboard!$W$7)),1,0)</f>
        <v>1</v>
      </c>
      <c r="M353" s="19">
        <f>L353*IF(OR(Dashboard!$W$8="All",J353=Dashboard!$W$8),1,0)</f>
        <v>1</v>
      </c>
    </row>
    <row r="354" spans="1:13" x14ac:dyDescent="0.25">
      <c r="A354" s="23">
        <v>46062.369201388901</v>
      </c>
      <c r="B354" s="19" t="s">
        <v>33</v>
      </c>
      <c r="C354" s="19" t="s">
        <v>25</v>
      </c>
      <c r="D354" s="19" t="s">
        <v>53</v>
      </c>
      <c r="E354" s="19" t="s">
        <v>769</v>
      </c>
      <c r="F354" s="19" t="s">
        <v>770</v>
      </c>
      <c r="G354" s="19" t="s">
        <v>68</v>
      </c>
      <c r="H354" s="19">
        <v>38</v>
      </c>
      <c r="I354" s="19">
        <v>210</v>
      </c>
      <c r="J354" s="19" t="str">
        <f t="shared" si="5"/>
        <v>Feb</v>
      </c>
      <c r="K354" s="19" t="str">
        <f>IF(I354&lt;=Calc!$B$2,"Yes","No")</f>
        <v>No</v>
      </c>
      <c r="L354" s="19">
        <f>IF(AND(OR(Dashboard!$W$6="All",C354=Dashboard!$W$6),OR(Dashboard!$W$7="All",D354=Dashboard!$W$7)),1,0)</f>
        <v>1</v>
      </c>
      <c r="M354" s="19">
        <f>L354*IF(OR(Dashboard!$W$8="All",J354=Dashboard!$W$8),1,0)</f>
        <v>1</v>
      </c>
    </row>
    <row r="355" spans="1:13" x14ac:dyDescent="0.25">
      <c r="A355" s="23">
        <v>46062.521597222199</v>
      </c>
      <c r="B355" s="19" t="s">
        <v>28</v>
      </c>
      <c r="C355" s="19" t="s">
        <v>25</v>
      </c>
      <c r="D355" s="19" t="s">
        <v>69</v>
      </c>
      <c r="E355" s="19" t="s">
        <v>771</v>
      </c>
      <c r="F355" s="19" t="s">
        <v>772</v>
      </c>
      <c r="G355" s="19" t="s">
        <v>90</v>
      </c>
      <c r="H355" s="19">
        <v>30</v>
      </c>
      <c r="I355" s="19">
        <v>183</v>
      </c>
      <c r="J355" s="19" t="str">
        <f t="shared" si="5"/>
        <v>Feb</v>
      </c>
      <c r="K355" s="19" t="str">
        <f>IF(I355&lt;=Calc!$B$2,"Yes","No")</f>
        <v>No</v>
      </c>
      <c r="L355" s="19">
        <f>IF(AND(OR(Dashboard!$W$6="All",C355=Dashboard!$W$6),OR(Dashboard!$W$7="All",D355=Dashboard!$W$7)),1,0)</f>
        <v>1</v>
      </c>
      <c r="M355" s="19">
        <f>L355*IF(OR(Dashboard!$W$8="All",J355=Dashboard!$W$8),1,0)</f>
        <v>1</v>
      </c>
    </row>
    <row r="356" spans="1:13" x14ac:dyDescent="0.25">
      <c r="A356" s="23">
        <v>46062.641585648198</v>
      </c>
      <c r="B356" s="19" t="s">
        <v>35</v>
      </c>
      <c r="C356" s="19" t="s">
        <v>27</v>
      </c>
      <c r="D356" s="19" t="s">
        <v>69</v>
      </c>
      <c r="E356" s="19" t="s">
        <v>773</v>
      </c>
      <c r="F356" s="19" t="s">
        <v>774</v>
      </c>
      <c r="G356" s="19" t="s">
        <v>64</v>
      </c>
      <c r="H356" s="19">
        <v>22</v>
      </c>
      <c r="I356" s="19">
        <v>68</v>
      </c>
      <c r="J356" s="19" t="str">
        <f t="shared" si="5"/>
        <v>Feb</v>
      </c>
      <c r="K356" s="19" t="str">
        <f>IF(I356&lt;=Calc!$B$2,"Yes","No")</f>
        <v>No</v>
      </c>
      <c r="L356" s="19">
        <f>IF(AND(OR(Dashboard!$W$6="All",C356=Dashboard!$W$6),OR(Dashboard!$W$7="All",D356=Dashboard!$W$7)),1,0)</f>
        <v>1</v>
      </c>
      <c r="M356" s="19">
        <f>L356*IF(OR(Dashboard!$W$8="All",J356=Dashboard!$W$8),1,0)</f>
        <v>1</v>
      </c>
    </row>
    <row r="357" spans="1:13" x14ac:dyDescent="0.25">
      <c r="A357" s="23">
        <v>46062.882303240702</v>
      </c>
      <c r="B357" s="19" t="s">
        <v>28</v>
      </c>
      <c r="C357" s="19" t="s">
        <v>31</v>
      </c>
      <c r="D357" s="19" t="s">
        <v>53</v>
      </c>
      <c r="E357" s="19" t="s">
        <v>775</v>
      </c>
      <c r="F357" s="19" t="s">
        <v>776</v>
      </c>
      <c r="G357" s="19" t="s">
        <v>90</v>
      </c>
      <c r="H357" s="19">
        <v>8</v>
      </c>
      <c r="I357" s="19">
        <v>58</v>
      </c>
      <c r="J357" s="19" t="str">
        <f t="shared" si="5"/>
        <v>Feb</v>
      </c>
      <c r="K357" s="19" t="str">
        <f>IF(I357&lt;=Calc!$B$2,"Yes","No")</f>
        <v>Yes</v>
      </c>
      <c r="L357" s="19">
        <f>IF(AND(OR(Dashboard!$W$6="All",C357=Dashboard!$W$6),OR(Dashboard!$W$7="All",D357=Dashboard!$W$7)),1,0)</f>
        <v>1</v>
      </c>
      <c r="M357" s="19">
        <f>L357*IF(OR(Dashboard!$W$8="All",J357=Dashboard!$W$8),1,0)</f>
        <v>1</v>
      </c>
    </row>
    <row r="358" spans="1:13" x14ac:dyDescent="0.25">
      <c r="A358" s="23">
        <v>46062.973055555602</v>
      </c>
      <c r="B358" s="19" t="s">
        <v>32</v>
      </c>
      <c r="C358" s="19" t="s">
        <v>25</v>
      </c>
      <c r="D358" s="19" t="s">
        <v>53</v>
      </c>
      <c r="E358" s="19" t="s">
        <v>777</v>
      </c>
      <c r="F358" s="19" t="s">
        <v>778</v>
      </c>
      <c r="G358" s="19" t="s">
        <v>72</v>
      </c>
      <c r="H358" s="19">
        <v>26</v>
      </c>
      <c r="I358" s="19">
        <v>133</v>
      </c>
      <c r="J358" s="19" t="str">
        <f t="shared" si="5"/>
        <v>Feb</v>
      </c>
      <c r="K358" s="19" t="str">
        <f>IF(I358&lt;=Calc!$B$2,"Yes","No")</f>
        <v>No</v>
      </c>
      <c r="L358" s="19">
        <f>IF(AND(OR(Dashboard!$W$6="All",C358=Dashboard!$W$6),OR(Dashboard!$W$7="All",D358=Dashboard!$W$7)),1,0)</f>
        <v>1</v>
      </c>
      <c r="M358" s="19">
        <f>L358*IF(OR(Dashboard!$W$8="All",J358=Dashboard!$W$8),1,0)</f>
        <v>1</v>
      </c>
    </row>
    <row r="359" spans="1:13" x14ac:dyDescent="0.25">
      <c r="A359" s="23">
        <v>46063.286909722199</v>
      </c>
      <c r="B359" s="19" t="s">
        <v>36</v>
      </c>
      <c r="C359" s="19" t="s">
        <v>29</v>
      </c>
      <c r="D359" s="19" t="s">
        <v>53</v>
      </c>
      <c r="E359" s="19" t="s">
        <v>779</v>
      </c>
      <c r="F359" s="19" t="s">
        <v>780</v>
      </c>
      <c r="G359" s="19" t="s">
        <v>59</v>
      </c>
      <c r="H359" s="19">
        <v>35</v>
      </c>
      <c r="I359" s="19">
        <v>136</v>
      </c>
      <c r="J359" s="19" t="str">
        <f t="shared" si="5"/>
        <v>Feb</v>
      </c>
      <c r="K359" s="19" t="str">
        <f>IF(I359&lt;=Calc!$B$2,"Yes","No")</f>
        <v>No</v>
      </c>
      <c r="L359" s="19">
        <f>IF(AND(OR(Dashboard!$W$6="All",C359=Dashboard!$W$6),OR(Dashboard!$W$7="All",D359=Dashboard!$W$7)),1,0)</f>
        <v>1</v>
      </c>
      <c r="M359" s="19">
        <f>L359*IF(OR(Dashboard!$W$8="All",J359=Dashboard!$W$8),1,0)</f>
        <v>1</v>
      </c>
    </row>
    <row r="360" spans="1:13" x14ac:dyDescent="0.25">
      <c r="A360" s="23">
        <v>46063.385046296302</v>
      </c>
      <c r="B360" s="19" t="s">
        <v>35</v>
      </c>
      <c r="C360" s="19" t="s">
        <v>25</v>
      </c>
      <c r="D360" s="19" t="s">
        <v>65</v>
      </c>
      <c r="E360" s="19" t="s">
        <v>781</v>
      </c>
      <c r="F360" s="19" t="s">
        <v>782</v>
      </c>
      <c r="G360" s="19" t="s">
        <v>64</v>
      </c>
      <c r="H360" s="19">
        <v>19</v>
      </c>
      <c r="I360" s="19">
        <v>176</v>
      </c>
      <c r="J360" s="19" t="str">
        <f t="shared" si="5"/>
        <v>Feb</v>
      </c>
      <c r="K360" s="19" t="str">
        <f>IF(I360&lt;=Calc!$B$2,"Yes","No")</f>
        <v>No</v>
      </c>
      <c r="L360" s="19">
        <f>IF(AND(OR(Dashboard!$W$6="All",C360=Dashboard!$W$6),OR(Dashboard!$W$7="All",D360=Dashboard!$W$7)),1,0)</f>
        <v>1</v>
      </c>
      <c r="M360" s="19">
        <f>L360*IF(OR(Dashboard!$W$8="All",J360=Dashboard!$W$8),1,0)</f>
        <v>1</v>
      </c>
    </row>
    <row r="361" spans="1:13" x14ac:dyDescent="0.25">
      <c r="A361" s="23">
        <v>46063.4211111111</v>
      </c>
      <c r="B361" s="19" t="s">
        <v>26</v>
      </c>
      <c r="C361" s="19" t="s">
        <v>31</v>
      </c>
      <c r="D361" s="19" t="s">
        <v>69</v>
      </c>
      <c r="E361" s="19" t="s">
        <v>783</v>
      </c>
      <c r="F361" s="19" t="s">
        <v>784</v>
      </c>
      <c r="G361" s="19" t="s">
        <v>100</v>
      </c>
      <c r="H361" s="19">
        <v>16</v>
      </c>
      <c r="I361" s="19">
        <v>50</v>
      </c>
      <c r="J361" s="19" t="str">
        <f t="shared" si="5"/>
        <v>Feb</v>
      </c>
      <c r="K361" s="19" t="str">
        <f>IF(I361&lt;=Calc!$B$2,"Yes","No")</f>
        <v>Yes</v>
      </c>
      <c r="L361" s="19">
        <f>IF(AND(OR(Dashboard!$W$6="All",C361=Dashboard!$W$6),OR(Dashboard!$W$7="All",D361=Dashboard!$W$7)),1,0)</f>
        <v>1</v>
      </c>
      <c r="M361" s="19">
        <f>L361*IF(OR(Dashboard!$W$8="All",J361=Dashboard!$W$8),1,0)</f>
        <v>1</v>
      </c>
    </row>
    <row r="362" spans="1:13" x14ac:dyDescent="0.25">
      <c r="A362" s="23">
        <v>46063.446562500001</v>
      </c>
      <c r="B362" s="19" t="s">
        <v>35</v>
      </c>
      <c r="C362" s="19" t="s">
        <v>29</v>
      </c>
      <c r="D362" s="19" t="s">
        <v>73</v>
      </c>
      <c r="E362" s="19" t="s">
        <v>785</v>
      </c>
      <c r="F362" s="19" t="s">
        <v>786</v>
      </c>
      <c r="G362" s="19" t="s">
        <v>64</v>
      </c>
      <c r="H362" s="19">
        <v>20</v>
      </c>
      <c r="I362" s="19">
        <v>98</v>
      </c>
      <c r="J362" s="19" t="str">
        <f t="shared" si="5"/>
        <v>Feb</v>
      </c>
      <c r="K362" s="19" t="str">
        <f>IF(I362&lt;=Calc!$B$2,"Yes","No")</f>
        <v>No</v>
      </c>
      <c r="L362" s="19">
        <f>IF(AND(OR(Dashboard!$W$6="All",C362=Dashboard!$W$6),OR(Dashboard!$W$7="All",D362=Dashboard!$W$7)),1,0)</f>
        <v>1</v>
      </c>
      <c r="M362" s="19">
        <f>L362*IF(OR(Dashboard!$W$8="All",J362=Dashboard!$W$8),1,0)</f>
        <v>1</v>
      </c>
    </row>
    <row r="363" spans="1:13" x14ac:dyDescent="0.25">
      <c r="A363" s="23">
        <v>46063.533078703702</v>
      </c>
      <c r="B363" s="19" t="s">
        <v>26</v>
      </c>
      <c r="C363" s="19" t="s">
        <v>27</v>
      </c>
      <c r="D363" s="19" t="s">
        <v>73</v>
      </c>
      <c r="E363" s="19" t="s">
        <v>787</v>
      </c>
      <c r="F363" s="19" t="s">
        <v>788</v>
      </c>
      <c r="G363" s="19" t="s">
        <v>100</v>
      </c>
      <c r="H363" s="19">
        <v>2</v>
      </c>
      <c r="I363" s="19">
        <v>46</v>
      </c>
      <c r="J363" s="19" t="str">
        <f t="shared" si="5"/>
        <v>Feb</v>
      </c>
      <c r="K363" s="19" t="str">
        <f>IF(I363&lt;=Calc!$B$2,"Yes","No")</f>
        <v>Yes</v>
      </c>
      <c r="L363" s="19">
        <f>IF(AND(OR(Dashboard!$W$6="All",C363=Dashboard!$W$6),OR(Dashboard!$W$7="All",D363=Dashboard!$W$7)),1,0)</f>
        <v>1</v>
      </c>
      <c r="M363" s="19">
        <f>L363*IF(OR(Dashboard!$W$8="All",J363=Dashboard!$W$8),1,0)</f>
        <v>1</v>
      </c>
    </row>
    <row r="364" spans="1:13" x14ac:dyDescent="0.25">
      <c r="A364" s="23">
        <v>46063.554050925901</v>
      </c>
      <c r="B364" s="19" t="s">
        <v>35</v>
      </c>
      <c r="C364" s="19" t="s">
        <v>27</v>
      </c>
      <c r="D364" s="19" t="s">
        <v>69</v>
      </c>
      <c r="E364" s="19" t="s">
        <v>789</v>
      </c>
      <c r="F364" s="19" t="s">
        <v>790</v>
      </c>
      <c r="G364" s="19" t="s">
        <v>64</v>
      </c>
      <c r="H364" s="19">
        <v>1</v>
      </c>
      <c r="I364" s="19">
        <v>40</v>
      </c>
      <c r="J364" s="19" t="str">
        <f t="shared" si="5"/>
        <v>Feb</v>
      </c>
      <c r="K364" s="19" t="str">
        <f>IF(I364&lt;=Calc!$B$2,"Yes","No")</f>
        <v>Yes</v>
      </c>
      <c r="L364" s="19">
        <f>IF(AND(OR(Dashboard!$W$6="All",C364=Dashboard!$W$6),OR(Dashboard!$W$7="All",D364=Dashboard!$W$7)),1,0)</f>
        <v>1</v>
      </c>
      <c r="M364" s="19">
        <f>L364*IF(OR(Dashboard!$W$8="All",J364=Dashboard!$W$8),1,0)</f>
        <v>1</v>
      </c>
    </row>
    <row r="365" spans="1:13" x14ac:dyDescent="0.25">
      <c r="A365" s="23">
        <v>46063.682928240698</v>
      </c>
      <c r="B365" s="19" t="s">
        <v>34</v>
      </c>
      <c r="C365" s="19" t="s">
        <v>31</v>
      </c>
      <c r="D365" s="19" t="s">
        <v>73</v>
      </c>
      <c r="E365" s="19" t="s">
        <v>791</v>
      </c>
      <c r="F365" s="19" t="s">
        <v>792</v>
      </c>
      <c r="G365" s="19" t="s">
        <v>56</v>
      </c>
      <c r="H365" s="19">
        <v>15</v>
      </c>
      <c r="I365" s="19">
        <v>20</v>
      </c>
      <c r="J365" s="19" t="str">
        <f t="shared" si="5"/>
        <v>Feb</v>
      </c>
      <c r="K365" s="19" t="str">
        <f>IF(I365&lt;=Calc!$B$2,"Yes","No")</f>
        <v>Yes</v>
      </c>
      <c r="L365" s="19">
        <f>IF(AND(OR(Dashboard!$W$6="All",C365=Dashboard!$W$6),OR(Dashboard!$W$7="All",D365=Dashboard!$W$7)),1,0)</f>
        <v>1</v>
      </c>
      <c r="M365" s="19">
        <f>L365*IF(OR(Dashboard!$W$8="All",J365=Dashboard!$W$8),1,0)</f>
        <v>1</v>
      </c>
    </row>
    <row r="366" spans="1:13" x14ac:dyDescent="0.25">
      <c r="A366" s="23">
        <v>46063.716712963003</v>
      </c>
      <c r="B366" s="19" t="s">
        <v>30</v>
      </c>
      <c r="C366" s="19" t="s">
        <v>31</v>
      </c>
      <c r="D366" s="19" t="s">
        <v>65</v>
      </c>
      <c r="E366" s="19" t="s">
        <v>793</v>
      </c>
      <c r="F366" s="19" t="s">
        <v>794</v>
      </c>
      <c r="G366" s="19" t="s">
        <v>93</v>
      </c>
      <c r="H366" s="19">
        <v>1</v>
      </c>
      <c r="I366" s="19">
        <v>39</v>
      </c>
      <c r="J366" s="19" t="str">
        <f t="shared" si="5"/>
        <v>Feb</v>
      </c>
      <c r="K366" s="19" t="str">
        <f>IF(I366&lt;=Calc!$B$2,"Yes","No")</f>
        <v>Yes</v>
      </c>
      <c r="L366" s="19">
        <f>IF(AND(OR(Dashboard!$W$6="All",C366=Dashboard!$W$6),OR(Dashboard!$W$7="All",D366=Dashboard!$W$7)),1,0)</f>
        <v>1</v>
      </c>
      <c r="M366" s="19">
        <f>L366*IF(OR(Dashboard!$W$8="All",J366=Dashboard!$W$8),1,0)</f>
        <v>1</v>
      </c>
    </row>
    <row r="367" spans="1:13" x14ac:dyDescent="0.25">
      <c r="A367" s="23">
        <v>46063.813090277799</v>
      </c>
      <c r="B367" s="19" t="s">
        <v>32</v>
      </c>
      <c r="C367" s="19" t="s">
        <v>29</v>
      </c>
      <c r="D367" s="19" t="s">
        <v>69</v>
      </c>
      <c r="E367" s="19" t="s">
        <v>795</v>
      </c>
      <c r="F367" s="19" t="s">
        <v>796</v>
      </c>
      <c r="G367" s="19" t="s">
        <v>72</v>
      </c>
      <c r="H367" s="19">
        <v>32</v>
      </c>
      <c r="I367" s="19">
        <v>166</v>
      </c>
      <c r="J367" s="19" t="str">
        <f t="shared" si="5"/>
        <v>Feb</v>
      </c>
      <c r="K367" s="19" t="str">
        <f>IF(I367&lt;=Calc!$B$2,"Yes","No")</f>
        <v>No</v>
      </c>
      <c r="L367" s="19">
        <f>IF(AND(OR(Dashboard!$W$6="All",C367=Dashboard!$W$6),OR(Dashboard!$W$7="All",D367=Dashboard!$W$7)),1,0)</f>
        <v>1</v>
      </c>
      <c r="M367" s="19">
        <f>L367*IF(OR(Dashboard!$W$8="All",J367=Dashboard!$W$8),1,0)</f>
        <v>1</v>
      </c>
    </row>
    <row r="368" spans="1:13" x14ac:dyDescent="0.25">
      <c r="A368" s="23">
        <v>46063.861793981501</v>
      </c>
      <c r="B368" s="19" t="s">
        <v>26</v>
      </c>
      <c r="C368" s="19" t="s">
        <v>31</v>
      </c>
      <c r="D368" s="19" t="s">
        <v>53</v>
      </c>
      <c r="E368" s="19" t="s">
        <v>797</v>
      </c>
      <c r="F368" s="19" t="s">
        <v>798</v>
      </c>
      <c r="G368" s="19" t="s">
        <v>100</v>
      </c>
      <c r="H368" s="19">
        <v>1</v>
      </c>
      <c r="I368" s="19">
        <v>98</v>
      </c>
      <c r="J368" s="19" t="str">
        <f t="shared" si="5"/>
        <v>Feb</v>
      </c>
      <c r="K368" s="19" t="str">
        <f>IF(I368&lt;=Calc!$B$2,"Yes","No")</f>
        <v>No</v>
      </c>
      <c r="L368" s="19">
        <f>IF(AND(OR(Dashboard!$W$6="All",C368=Dashboard!$W$6),OR(Dashboard!$W$7="All",D368=Dashboard!$W$7)),1,0)</f>
        <v>1</v>
      </c>
      <c r="M368" s="19">
        <f>L368*IF(OR(Dashboard!$W$8="All",J368=Dashboard!$W$8),1,0)</f>
        <v>1</v>
      </c>
    </row>
    <row r="369" spans="1:13" x14ac:dyDescent="0.25">
      <c r="A369" s="23">
        <v>46063.871215277803</v>
      </c>
      <c r="B369" s="19" t="s">
        <v>28</v>
      </c>
      <c r="C369" s="19" t="s">
        <v>25</v>
      </c>
      <c r="D369" s="19" t="s">
        <v>65</v>
      </c>
      <c r="E369" s="19" t="s">
        <v>799</v>
      </c>
      <c r="F369" s="19" t="s">
        <v>800</v>
      </c>
      <c r="G369" s="19" t="s">
        <v>90</v>
      </c>
      <c r="H369" s="19">
        <v>31</v>
      </c>
      <c r="I369" s="19">
        <v>159</v>
      </c>
      <c r="J369" s="19" t="str">
        <f t="shared" si="5"/>
        <v>Feb</v>
      </c>
      <c r="K369" s="19" t="str">
        <f>IF(I369&lt;=Calc!$B$2,"Yes","No")</f>
        <v>No</v>
      </c>
      <c r="L369" s="19">
        <f>IF(AND(OR(Dashboard!$W$6="All",C369=Dashboard!$W$6),OR(Dashboard!$W$7="All",D369=Dashboard!$W$7)),1,0)</f>
        <v>1</v>
      </c>
      <c r="M369" s="19">
        <f>L369*IF(OR(Dashboard!$W$8="All",J369=Dashboard!$W$8),1,0)</f>
        <v>1</v>
      </c>
    </row>
    <row r="370" spans="1:13" x14ac:dyDescent="0.25">
      <c r="A370" s="23">
        <v>46063.929884259298</v>
      </c>
      <c r="B370" s="19" t="s">
        <v>32</v>
      </c>
      <c r="C370" s="19" t="s">
        <v>25</v>
      </c>
      <c r="D370" s="19" t="s">
        <v>69</v>
      </c>
      <c r="E370" s="19" t="s">
        <v>801</v>
      </c>
      <c r="F370" s="19" t="s">
        <v>802</v>
      </c>
      <c r="G370" s="19" t="s">
        <v>72</v>
      </c>
      <c r="H370" s="19">
        <v>25</v>
      </c>
      <c r="I370" s="19">
        <v>217</v>
      </c>
      <c r="J370" s="19" t="str">
        <f t="shared" si="5"/>
        <v>Feb</v>
      </c>
      <c r="K370" s="19" t="str">
        <f>IF(I370&lt;=Calc!$B$2,"Yes","No")</f>
        <v>No</v>
      </c>
      <c r="L370" s="19">
        <f>IF(AND(OR(Dashboard!$W$6="All",C370=Dashboard!$W$6),OR(Dashboard!$W$7="All",D370=Dashboard!$W$7)),1,0)</f>
        <v>1</v>
      </c>
      <c r="M370" s="19">
        <f>L370*IF(OR(Dashboard!$W$8="All",J370=Dashboard!$W$8),1,0)</f>
        <v>1</v>
      </c>
    </row>
    <row r="371" spans="1:13" x14ac:dyDescent="0.25">
      <c r="A371" s="23">
        <v>46064.063090277799</v>
      </c>
      <c r="B371" s="19" t="s">
        <v>30</v>
      </c>
      <c r="C371" s="19" t="s">
        <v>25</v>
      </c>
      <c r="D371" s="19" t="s">
        <v>73</v>
      </c>
      <c r="E371" s="19" t="s">
        <v>803</v>
      </c>
      <c r="F371" s="19" t="s">
        <v>804</v>
      </c>
      <c r="G371" s="19" t="s">
        <v>93</v>
      </c>
      <c r="H371" s="19">
        <v>25</v>
      </c>
      <c r="I371" s="19">
        <v>117</v>
      </c>
      <c r="J371" s="19" t="str">
        <f t="shared" si="5"/>
        <v>Feb</v>
      </c>
      <c r="K371" s="19" t="str">
        <f>IF(I371&lt;=Calc!$B$2,"Yes","No")</f>
        <v>No</v>
      </c>
      <c r="L371" s="19">
        <f>IF(AND(OR(Dashboard!$W$6="All",C371=Dashboard!$W$6),OR(Dashboard!$W$7="All",D371=Dashboard!$W$7)),1,0)</f>
        <v>1</v>
      </c>
      <c r="M371" s="19">
        <f>L371*IF(OR(Dashboard!$W$8="All",J371=Dashboard!$W$8),1,0)</f>
        <v>1</v>
      </c>
    </row>
    <row r="372" spans="1:13" x14ac:dyDescent="0.25">
      <c r="A372" s="23">
        <v>46064.167743055601</v>
      </c>
      <c r="B372" s="19" t="s">
        <v>30</v>
      </c>
      <c r="C372" s="19" t="s">
        <v>29</v>
      </c>
      <c r="D372" s="19" t="s">
        <v>65</v>
      </c>
      <c r="E372" s="19" t="s">
        <v>805</v>
      </c>
      <c r="F372" s="19" t="s">
        <v>806</v>
      </c>
      <c r="G372" s="19" t="s">
        <v>93</v>
      </c>
      <c r="H372" s="19">
        <v>26</v>
      </c>
      <c r="I372" s="19">
        <v>124</v>
      </c>
      <c r="J372" s="19" t="str">
        <f t="shared" si="5"/>
        <v>Feb</v>
      </c>
      <c r="K372" s="19" t="str">
        <f>IF(I372&lt;=Calc!$B$2,"Yes","No")</f>
        <v>No</v>
      </c>
      <c r="L372" s="19">
        <f>IF(AND(OR(Dashboard!$W$6="All",C372=Dashboard!$W$6),OR(Dashboard!$W$7="All",D372=Dashboard!$W$7)),1,0)</f>
        <v>1</v>
      </c>
      <c r="M372" s="19">
        <f>L372*IF(OR(Dashboard!$W$8="All",J372=Dashboard!$W$8),1,0)</f>
        <v>1</v>
      </c>
    </row>
    <row r="373" spans="1:13" x14ac:dyDescent="0.25">
      <c r="A373" s="23">
        <v>46064.178738425901</v>
      </c>
      <c r="B373" s="19" t="s">
        <v>34</v>
      </c>
      <c r="C373" s="19" t="s">
        <v>27</v>
      </c>
      <c r="D373" s="19" t="s">
        <v>73</v>
      </c>
      <c r="E373" s="19" t="s">
        <v>807</v>
      </c>
      <c r="F373" s="19" t="s">
        <v>808</v>
      </c>
      <c r="G373" s="19" t="s">
        <v>56</v>
      </c>
      <c r="H373" s="19">
        <v>1</v>
      </c>
      <c r="I373" s="19">
        <v>72</v>
      </c>
      <c r="J373" s="19" t="str">
        <f t="shared" si="5"/>
        <v>Feb</v>
      </c>
      <c r="K373" s="19" t="str">
        <f>IF(I373&lt;=Calc!$B$2,"Yes","No")</f>
        <v>No</v>
      </c>
      <c r="L373" s="19">
        <f>IF(AND(OR(Dashboard!$W$6="All",C373=Dashboard!$W$6),OR(Dashboard!$W$7="All",D373=Dashboard!$W$7)),1,0)</f>
        <v>1</v>
      </c>
      <c r="M373" s="19">
        <f>L373*IF(OR(Dashboard!$W$8="All",J373=Dashboard!$W$8),1,0)</f>
        <v>1</v>
      </c>
    </row>
    <row r="374" spans="1:13" x14ac:dyDescent="0.25">
      <c r="A374" s="23">
        <v>46064.570891203701</v>
      </c>
      <c r="B374" s="19" t="s">
        <v>28</v>
      </c>
      <c r="C374" s="19" t="s">
        <v>27</v>
      </c>
      <c r="D374" s="19" t="s">
        <v>73</v>
      </c>
      <c r="E374" s="19" t="s">
        <v>809</v>
      </c>
      <c r="F374" s="19" t="s">
        <v>810</v>
      </c>
      <c r="G374" s="19" t="s">
        <v>90</v>
      </c>
      <c r="H374" s="19">
        <v>23</v>
      </c>
      <c r="I374" s="19">
        <v>51</v>
      </c>
      <c r="J374" s="19" t="str">
        <f t="shared" si="5"/>
        <v>Feb</v>
      </c>
      <c r="K374" s="19" t="str">
        <f>IF(I374&lt;=Calc!$B$2,"Yes","No")</f>
        <v>Yes</v>
      </c>
      <c r="L374" s="19">
        <f>IF(AND(OR(Dashboard!$W$6="All",C374=Dashboard!$W$6),OR(Dashboard!$W$7="All",D374=Dashboard!$W$7)),1,0)</f>
        <v>1</v>
      </c>
      <c r="M374" s="19">
        <f>L374*IF(OR(Dashboard!$W$8="All",J374=Dashboard!$W$8),1,0)</f>
        <v>1</v>
      </c>
    </row>
    <row r="375" spans="1:13" x14ac:dyDescent="0.25">
      <c r="A375" s="23">
        <v>46064.6352430556</v>
      </c>
      <c r="B375" s="19" t="s">
        <v>36</v>
      </c>
      <c r="C375" s="19" t="s">
        <v>25</v>
      </c>
      <c r="D375" s="19" t="s">
        <v>69</v>
      </c>
      <c r="E375" s="19" t="s">
        <v>811</v>
      </c>
      <c r="F375" s="19" t="s">
        <v>812</v>
      </c>
      <c r="G375" s="19" t="s">
        <v>59</v>
      </c>
      <c r="H375" s="19">
        <v>26</v>
      </c>
      <c r="I375" s="19">
        <v>184</v>
      </c>
      <c r="J375" s="19" t="str">
        <f t="shared" si="5"/>
        <v>Feb</v>
      </c>
      <c r="K375" s="19" t="str">
        <f>IF(I375&lt;=Calc!$B$2,"Yes","No")</f>
        <v>No</v>
      </c>
      <c r="L375" s="19">
        <f>IF(AND(OR(Dashboard!$W$6="All",C375=Dashboard!$W$6),OR(Dashboard!$W$7="All",D375=Dashboard!$W$7)),1,0)</f>
        <v>1</v>
      </c>
      <c r="M375" s="19">
        <f>L375*IF(OR(Dashboard!$W$8="All",J375=Dashboard!$W$8),1,0)</f>
        <v>1</v>
      </c>
    </row>
    <row r="376" spans="1:13" x14ac:dyDescent="0.25">
      <c r="A376" s="23">
        <v>46064.674189814803</v>
      </c>
      <c r="B376" s="19" t="s">
        <v>30</v>
      </c>
      <c r="C376" s="19" t="s">
        <v>29</v>
      </c>
      <c r="D376" s="19" t="s">
        <v>73</v>
      </c>
      <c r="E376" s="19" t="s">
        <v>813</v>
      </c>
      <c r="F376" s="19" t="s">
        <v>814</v>
      </c>
      <c r="G376" s="19" t="s">
        <v>93</v>
      </c>
      <c r="H376" s="19">
        <v>27</v>
      </c>
      <c r="I376" s="19">
        <v>97</v>
      </c>
      <c r="J376" s="19" t="str">
        <f t="shared" si="5"/>
        <v>Feb</v>
      </c>
      <c r="K376" s="19" t="str">
        <f>IF(I376&lt;=Calc!$B$2,"Yes","No")</f>
        <v>No</v>
      </c>
      <c r="L376" s="19">
        <f>IF(AND(OR(Dashboard!$W$6="All",C376=Dashboard!$W$6),OR(Dashboard!$W$7="All",D376=Dashboard!$W$7)),1,0)</f>
        <v>1</v>
      </c>
      <c r="M376" s="19">
        <f>L376*IF(OR(Dashboard!$W$8="All",J376=Dashboard!$W$8),1,0)</f>
        <v>1</v>
      </c>
    </row>
    <row r="377" spans="1:13" x14ac:dyDescent="0.25">
      <c r="A377" s="23">
        <v>46064.683275463001</v>
      </c>
      <c r="B377" s="19" t="s">
        <v>33</v>
      </c>
      <c r="C377" s="19" t="s">
        <v>27</v>
      </c>
      <c r="D377" s="19" t="s">
        <v>65</v>
      </c>
      <c r="E377" s="19" t="s">
        <v>815</v>
      </c>
      <c r="F377" s="19" t="s">
        <v>816</v>
      </c>
      <c r="G377" s="19" t="s">
        <v>68</v>
      </c>
      <c r="H377" s="19">
        <v>15</v>
      </c>
      <c r="I377" s="19">
        <v>67</v>
      </c>
      <c r="J377" s="19" t="str">
        <f t="shared" si="5"/>
        <v>Feb</v>
      </c>
      <c r="K377" s="19" t="str">
        <f>IF(I377&lt;=Calc!$B$2,"Yes","No")</f>
        <v>No</v>
      </c>
      <c r="L377" s="19">
        <f>IF(AND(OR(Dashboard!$W$6="All",C377=Dashboard!$W$6),OR(Dashboard!$W$7="All",D377=Dashboard!$W$7)),1,0)</f>
        <v>1</v>
      </c>
      <c r="M377" s="19">
        <f>L377*IF(OR(Dashboard!$W$8="All",J377=Dashboard!$W$8),1,0)</f>
        <v>1</v>
      </c>
    </row>
    <row r="378" spans="1:13" x14ac:dyDescent="0.25">
      <c r="A378" s="23">
        <v>46064.689502314803</v>
      </c>
      <c r="B378" s="19" t="s">
        <v>35</v>
      </c>
      <c r="C378" s="19" t="s">
        <v>29</v>
      </c>
      <c r="D378" s="19" t="s">
        <v>65</v>
      </c>
      <c r="E378" s="19" t="s">
        <v>817</v>
      </c>
      <c r="F378" s="19" t="s">
        <v>818</v>
      </c>
      <c r="G378" s="19" t="s">
        <v>64</v>
      </c>
      <c r="H378" s="19">
        <v>21</v>
      </c>
      <c r="I378" s="19">
        <v>125</v>
      </c>
      <c r="J378" s="19" t="str">
        <f t="shared" si="5"/>
        <v>Feb</v>
      </c>
      <c r="K378" s="19" t="str">
        <f>IF(I378&lt;=Calc!$B$2,"Yes","No")</f>
        <v>No</v>
      </c>
      <c r="L378" s="19">
        <f>IF(AND(OR(Dashboard!$W$6="All",C378=Dashboard!$W$6),OR(Dashboard!$W$7="All",D378=Dashboard!$W$7)),1,0)</f>
        <v>1</v>
      </c>
      <c r="M378" s="19">
        <f>L378*IF(OR(Dashboard!$W$8="All",J378=Dashboard!$W$8),1,0)</f>
        <v>1</v>
      </c>
    </row>
    <row r="379" spans="1:13" x14ac:dyDescent="0.25">
      <c r="A379" s="23">
        <v>46065.474363425899</v>
      </c>
      <c r="B379" s="19" t="s">
        <v>35</v>
      </c>
      <c r="C379" s="19" t="s">
        <v>27</v>
      </c>
      <c r="D379" s="19" t="s">
        <v>73</v>
      </c>
      <c r="E379" s="19" t="s">
        <v>819</v>
      </c>
      <c r="F379" s="19" t="s">
        <v>820</v>
      </c>
      <c r="G379" s="19" t="s">
        <v>64</v>
      </c>
      <c r="H379" s="19">
        <v>3</v>
      </c>
      <c r="I379" s="19">
        <v>74</v>
      </c>
      <c r="J379" s="19" t="str">
        <f t="shared" si="5"/>
        <v>Feb</v>
      </c>
      <c r="K379" s="19" t="str">
        <f>IF(I379&lt;=Calc!$B$2,"Yes","No")</f>
        <v>No</v>
      </c>
      <c r="L379" s="19">
        <f>IF(AND(OR(Dashboard!$W$6="All",C379=Dashboard!$W$6),OR(Dashboard!$W$7="All",D379=Dashboard!$W$7)),1,0)</f>
        <v>1</v>
      </c>
      <c r="M379" s="19">
        <f>L379*IF(OR(Dashboard!$W$8="All",J379=Dashboard!$W$8),1,0)</f>
        <v>1</v>
      </c>
    </row>
    <row r="380" spans="1:13" x14ac:dyDescent="0.25">
      <c r="A380" s="23">
        <v>46065.546944444497</v>
      </c>
      <c r="B380" s="19" t="s">
        <v>26</v>
      </c>
      <c r="C380" s="19" t="s">
        <v>25</v>
      </c>
      <c r="D380" s="19" t="s">
        <v>65</v>
      </c>
      <c r="E380" s="19" t="s">
        <v>821</v>
      </c>
      <c r="F380" s="19" t="s">
        <v>822</v>
      </c>
      <c r="G380" s="19" t="s">
        <v>100</v>
      </c>
      <c r="H380" s="19">
        <v>29</v>
      </c>
      <c r="I380" s="19">
        <v>139</v>
      </c>
      <c r="J380" s="19" t="str">
        <f t="shared" si="5"/>
        <v>Feb</v>
      </c>
      <c r="K380" s="19" t="str">
        <f>IF(I380&lt;=Calc!$B$2,"Yes","No")</f>
        <v>No</v>
      </c>
      <c r="L380" s="19">
        <f>IF(AND(OR(Dashboard!$W$6="All",C380=Dashboard!$W$6),OR(Dashboard!$W$7="All",D380=Dashboard!$W$7)),1,0)</f>
        <v>1</v>
      </c>
      <c r="M380" s="19">
        <f>L380*IF(OR(Dashboard!$W$8="All",J380=Dashboard!$W$8),1,0)</f>
        <v>1</v>
      </c>
    </row>
    <row r="381" spans="1:13" x14ac:dyDescent="0.25">
      <c r="A381" s="23">
        <v>46065.619050925903</v>
      </c>
      <c r="B381" s="19" t="s">
        <v>32</v>
      </c>
      <c r="C381" s="19" t="s">
        <v>25</v>
      </c>
      <c r="D381" s="19" t="s">
        <v>65</v>
      </c>
      <c r="E381" s="19" t="s">
        <v>823</v>
      </c>
      <c r="F381" s="19" t="s">
        <v>824</v>
      </c>
      <c r="G381" s="19" t="s">
        <v>72</v>
      </c>
      <c r="H381" s="19">
        <v>30</v>
      </c>
      <c r="I381" s="19">
        <v>159</v>
      </c>
      <c r="J381" s="19" t="str">
        <f t="shared" si="5"/>
        <v>Feb</v>
      </c>
      <c r="K381" s="19" t="str">
        <f>IF(I381&lt;=Calc!$B$2,"Yes","No")</f>
        <v>No</v>
      </c>
      <c r="L381" s="19">
        <f>IF(AND(OR(Dashboard!$W$6="All",C381=Dashboard!$W$6),OR(Dashboard!$W$7="All",D381=Dashboard!$W$7)),1,0)</f>
        <v>1</v>
      </c>
      <c r="M381" s="19">
        <f>L381*IF(OR(Dashboard!$W$8="All",J381=Dashboard!$W$8),1,0)</f>
        <v>1</v>
      </c>
    </row>
    <row r="382" spans="1:13" x14ac:dyDescent="0.25">
      <c r="A382" s="23">
        <v>46065.663622685199</v>
      </c>
      <c r="B382" s="19" t="s">
        <v>35</v>
      </c>
      <c r="C382" s="19" t="s">
        <v>25</v>
      </c>
      <c r="D382" s="19" t="s">
        <v>53</v>
      </c>
      <c r="E382" s="19" t="s">
        <v>825</v>
      </c>
      <c r="F382" s="19" t="s">
        <v>826</v>
      </c>
      <c r="G382" s="19" t="s">
        <v>64</v>
      </c>
      <c r="H382" s="19">
        <v>45</v>
      </c>
      <c r="I382" s="19">
        <v>176</v>
      </c>
      <c r="J382" s="19" t="str">
        <f t="shared" si="5"/>
        <v>Feb</v>
      </c>
      <c r="K382" s="19" t="str">
        <f>IF(I382&lt;=Calc!$B$2,"Yes","No")</f>
        <v>No</v>
      </c>
      <c r="L382" s="19">
        <f>IF(AND(OR(Dashboard!$W$6="All",C382=Dashboard!$W$6),OR(Dashboard!$W$7="All",D382=Dashboard!$W$7)),1,0)</f>
        <v>1</v>
      </c>
      <c r="M382" s="19">
        <f>L382*IF(OR(Dashboard!$W$8="All",J382=Dashboard!$W$8),1,0)</f>
        <v>1</v>
      </c>
    </row>
    <row r="383" spans="1:13" x14ac:dyDescent="0.25">
      <c r="A383" s="23">
        <v>46065.852442129602</v>
      </c>
      <c r="B383" s="19" t="s">
        <v>35</v>
      </c>
      <c r="C383" s="19" t="s">
        <v>25</v>
      </c>
      <c r="D383" s="19" t="s">
        <v>73</v>
      </c>
      <c r="E383" s="19" t="s">
        <v>827</v>
      </c>
      <c r="F383" s="19" t="s">
        <v>828</v>
      </c>
      <c r="G383" s="19" t="s">
        <v>64</v>
      </c>
      <c r="H383" s="19">
        <v>13</v>
      </c>
      <c r="I383" s="19">
        <v>119</v>
      </c>
      <c r="J383" s="19" t="str">
        <f t="shared" si="5"/>
        <v>Feb</v>
      </c>
      <c r="K383" s="19" t="str">
        <f>IF(I383&lt;=Calc!$B$2,"Yes","No")</f>
        <v>No</v>
      </c>
      <c r="L383" s="19">
        <f>IF(AND(OR(Dashboard!$W$6="All",C383=Dashboard!$W$6),OR(Dashboard!$W$7="All",D383=Dashboard!$W$7)),1,0)</f>
        <v>1</v>
      </c>
      <c r="M383" s="19">
        <f>L383*IF(OR(Dashboard!$W$8="All",J383=Dashboard!$W$8),1,0)</f>
        <v>1</v>
      </c>
    </row>
    <row r="384" spans="1:13" x14ac:dyDescent="0.25">
      <c r="A384" s="23">
        <v>46066.017222222203</v>
      </c>
      <c r="B384" s="19" t="s">
        <v>34</v>
      </c>
      <c r="C384" s="19" t="s">
        <v>27</v>
      </c>
      <c r="D384" s="19" t="s">
        <v>53</v>
      </c>
      <c r="E384" s="19" t="s">
        <v>829</v>
      </c>
      <c r="F384" s="19" t="s">
        <v>830</v>
      </c>
      <c r="G384" s="19" t="s">
        <v>56</v>
      </c>
      <c r="H384" s="19">
        <v>2</v>
      </c>
      <c r="I384" s="19">
        <v>26</v>
      </c>
      <c r="J384" s="19" t="str">
        <f t="shared" si="5"/>
        <v>Feb</v>
      </c>
      <c r="K384" s="19" t="str">
        <f>IF(I384&lt;=Calc!$B$2,"Yes","No")</f>
        <v>Yes</v>
      </c>
      <c r="L384" s="19">
        <f>IF(AND(OR(Dashboard!$W$6="All",C384=Dashboard!$W$6),OR(Dashboard!$W$7="All",D384=Dashboard!$W$7)),1,0)</f>
        <v>1</v>
      </c>
      <c r="M384" s="19">
        <f>L384*IF(OR(Dashboard!$W$8="All",J384=Dashboard!$W$8),1,0)</f>
        <v>1</v>
      </c>
    </row>
    <row r="385" spans="1:13" x14ac:dyDescent="0.25">
      <c r="A385" s="23">
        <v>46066.0217708333</v>
      </c>
      <c r="B385" s="19" t="s">
        <v>35</v>
      </c>
      <c r="C385" s="19" t="s">
        <v>31</v>
      </c>
      <c r="D385" s="19" t="s">
        <v>53</v>
      </c>
      <c r="E385" s="19" t="s">
        <v>831</v>
      </c>
      <c r="F385" s="19" t="s">
        <v>832</v>
      </c>
      <c r="G385" s="19" t="s">
        <v>64</v>
      </c>
      <c r="H385" s="19">
        <v>32</v>
      </c>
      <c r="I385" s="19">
        <v>152</v>
      </c>
      <c r="J385" s="19" t="str">
        <f t="shared" si="5"/>
        <v>Feb</v>
      </c>
      <c r="K385" s="19" t="str">
        <f>IF(I385&lt;=Calc!$B$2,"Yes","No")</f>
        <v>No</v>
      </c>
      <c r="L385" s="19">
        <f>IF(AND(OR(Dashboard!$W$6="All",C385=Dashboard!$W$6),OR(Dashboard!$W$7="All",D385=Dashboard!$W$7)),1,0)</f>
        <v>1</v>
      </c>
      <c r="M385" s="19">
        <f>L385*IF(OR(Dashboard!$W$8="All",J385=Dashboard!$W$8),1,0)</f>
        <v>1</v>
      </c>
    </row>
    <row r="386" spans="1:13" x14ac:dyDescent="0.25">
      <c r="A386" s="23">
        <v>46066.669965277797</v>
      </c>
      <c r="B386" s="19" t="s">
        <v>30</v>
      </c>
      <c r="C386" s="19" t="s">
        <v>25</v>
      </c>
      <c r="D386" s="19" t="s">
        <v>73</v>
      </c>
      <c r="E386" s="19" t="s">
        <v>833</v>
      </c>
      <c r="F386" s="19" t="s">
        <v>834</v>
      </c>
      <c r="G386" s="19" t="s">
        <v>93</v>
      </c>
      <c r="H386" s="19">
        <v>34</v>
      </c>
      <c r="I386" s="19">
        <v>195</v>
      </c>
      <c r="J386" s="19" t="str">
        <f t="shared" ref="J386:J449" si="6">CHOOSE(MONTH(A386),"Jan","Feb","Mar","Apr","May","Jun","Jul","Aug","Sep","Oct","Nov","Dec")</f>
        <v>Feb</v>
      </c>
      <c r="K386" s="19" t="str">
        <f>IF(I386&lt;=Calc!$B$2,"Yes","No")</f>
        <v>No</v>
      </c>
      <c r="L386" s="19">
        <f>IF(AND(OR(Dashboard!$W$6="All",C386=Dashboard!$W$6),OR(Dashboard!$W$7="All",D386=Dashboard!$W$7)),1,0)</f>
        <v>1</v>
      </c>
      <c r="M386" s="19">
        <f>L386*IF(OR(Dashboard!$W$8="All",J386=Dashboard!$W$8),1,0)</f>
        <v>1</v>
      </c>
    </row>
    <row r="387" spans="1:13" x14ac:dyDescent="0.25">
      <c r="A387" s="23">
        <v>46066.676562499997</v>
      </c>
      <c r="B387" s="19" t="s">
        <v>34</v>
      </c>
      <c r="C387" s="19" t="s">
        <v>25</v>
      </c>
      <c r="D387" s="19" t="s">
        <v>73</v>
      </c>
      <c r="E387" s="19" t="s">
        <v>835</v>
      </c>
      <c r="F387" s="19" t="s">
        <v>836</v>
      </c>
      <c r="G387" s="19" t="s">
        <v>56</v>
      </c>
      <c r="H387" s="19">
        <v>16</v>
      </c>
      <c r="I387" s="19">
        <v>142</v>
      </c>
      <c r="J387" s="19" t="str">
        <f t="shared" si="6"/>
        <v>Feb</v>
      </c>
      <c r="K387" s="19" t="str">
        <f>IF(I387&lt;=Calc!$B$2,"Yes","No")</f>
        <v>No</v>
      </c>
      <c r="L387" s="19">
        <f>IF(AND(OR(Dashboard!$W$6="All",C387=Dashboard!$W$6),OR(Dashboard!$W$7="All",D387=Dashboard!$W$7)),1,0)</f>
        <v>1</v>
      </c>
      <c r="M387" s="19">
        <f>L387*IF(OR(Dashboard!$W$8="All",J387=Dashboard!$W$8),1,0)</f>
        <v>1</v>
      </c>
    </row>
    <row r="388" spans="1:13" x14ac:dyDescent="0.25">
      <c r="A388" s="23">
        <v>46067.044432870403</v>
      </c>
      <c r="B388" s="19" t="s">
        <v>32</v>
      </c>
      <c r="C388" s="19" t="s">
        <v>29</v>
      </c>
      <c r="D388" s="19" t="s">
        <v>53</v>
      </c>
      <c r="E388" s="19" t="s">
        <v>837</v>
      </c>
      <c r="F388" s="19" t="s">
        <v>838</v>
      </c>
      <c r="G388" s="19" t="s">
        <v>72</v>
      </c>
      <c r="H388" s="19">
        <v>34</v>
      </c>
      <c r="I388" s="19">
        <v>143</v>
      </c>
      <c r="J388" s="19" t="str">
        <f t="shared" si="6"/>
        <v>Feb</v>
      </c>
      <c r="K388" s="19" t="str">
        <f>IF(I388&lt;=Calc!$B$2,"Yes","No")</f>
        <v>No</v>
      </c>
      <c r="L388" s="19">
        <f>IF(AND(OR(Dashboard!$W$6="All",C388=Dashboard!$W$6),OR(Dashboard!$W$7="All",D388=Dashboard!$W$7)),1,0)</f>
        <v>1</v>
      </c>
      <c r="M388" s="19">
        <f>L388*IF(OR(Dashboard!$W$8="All",J388=Dashboard!$W$8),1,0)</f>
        <v>1</v>
      </c>
    </row>
    <row r="389" spans="1:13" x14ac:dyDescent="0.25">
      <c r="A389" s="23">
        <v>46067.052199074104</v>
      </c>
      <c r="B389" s="19" t="s">
        <v>33</v>
      </c>
      <c r="C389" s="19" t="s">
        <v>27</v>
      </c>
      <c r="D389" s="19" t="s">
        <v>73</v>
      </c>
      <c r="E389" s="19" t="s">
        <v>839</v>
      </c>
      <c r="F389" s="19" t="s">
        <v>840</v>
      </c>
      <c r="G389" s="19" t="s">
        <v>68</v>
      </c>
      <c r="H389" s="19">
        <v>23</v>
      </c>
      <c r="I389" s="19">
        <v>103</v>
      </c>
      <c r="J389" s="19" t="str">
        <f t="shared" si="6"/>
        <v>Feb</v>
      </c>
      <c r="K389" s="19" t="str">
        <f>IF(I389&lt;=Calc!$B$2,"Yes","No")</f>
        <v>No</v>
      </c>
      <c r="L389" s="19">
        <f>IF(AND(OR(Dashboard!$W$6="All",C389=Dashboard!$W$6),OR(Dashboard!$W$7="All",D389=Dashboard!$W$7)),1,0)</f>
        <v>1</v>
      </c>
      <c r="M389" s="19">
        <f>L389*IF(OR(Dashboard!$W$8="All",J389=Dashboard!$W$8),1,0)</f>
        <v>1</v>
      </c>
    </row>
    <row r="390" spans="1:13" x14ac:dyDescent="0.25">
      <c r="A390" s="23">
        <v>46067.146562499998</v>
      </c>
      <c r="B390" s="19" t="s">
        <v>36</v>
      </c>
      <c r="C390" s="19" t="s">
        <v>25</v>
      </c>
      <c r="D390" s="19" t="s">
        <v>73</v>
      </c>
      <c r="E390" s="19" t="s">
        <v>841</v>
      </c>
      <c r="F390" s="19" t="s">
        <v>842</v>
      </c>
      <c r="G390" s="19" t="s">
        <v>59</v>
      </c>
      <c r="H390" s="19">
        <v>23</v>
      </c>
      <c r="I390" s="19">
        <v>85</v>
      </c>
      <c r="J390" s="19" t="str">
        <f t="shared" si="6"/>
        <v>Feb</v>
      </c>
      <c r="K390" s="19" t="str">
        <f>IF(I390&lt;=Calc!$B$2,"Yes","No")</f>
        <v>No</v>
      </c>
      <c r="L390" s="19">
        <f>IF(AND(OR(Dashboard!$W$6="All",C390=Dashboard!$W$6),OR(Dashboard!$W$7="All",D390=Dashboard!$W$7)),1,0)</f>
        <v>1</v>
      </c>
      <c r="M390" s="19">
        <f>L390*IF(OR(Dashboard!$W$8="All",J390=Dashboard!$W$8),1,0)</f>
        <v>1</v>
      </c>
    </row>
    <row r="391" spans="1:13" x14ac:dyDescent="0.25">
      <c r="A391" s="23">
        <v>46067.176921296297</v>
      </c>
      <c r="B391" s="19" t="s">
        <v>34</v>
      </c>
      <c r="C391" s="19" t="s">
        <v>29</v>
      </c>
      <c r="D391" s="19" t="s">
        <v>65</v>
      </c>
      <c r="E391" s="19" t="s">
        <v>843</v>
      </c>
      <c r="F391" s="19" t="s">
        <v>844</v>
      </c>
      <c r="G391" s="19" t="s">
        <v>56</v>
      </c>
      <c r="H391" s="19">
        <v>37</v>
      </c>
      <c r="I391" s="19">
        <v>154</v>
      </c>
      <c r="J391" s="19" t="str">
        <f t="shared" si="6"/>
        <v>Feb</v>
      </c>
      <c r="K391" s="19" t="str">
        <f>IF(I391&lt;=Calc!$B$2,"Yes","No")</f>
        <v>No</v>
      </c>
      <c r="L391" s="19">
        <f>IF(AND(OR(Dashboard!$W$6="All",C391=Dashboard!$W$6),OR(Dashboard!$W$7="All",D391=Dashboard!$W$7)),1,0)</f>
        <v>1</v>
      </c>
      <c r="M391" s="19">
        <f>L391*IF(OR(Dashboard!$W$8="All",J391=Dashboard!$W$8),1,0)</f>
        <v>1</v>
      </c>
    </row>
    <row r="392" spans="1:13" x14ac:dyDescent="0.25">
      <c r="A392" s="23">
        <v>46067.346145833297</v>
      </c>
      <c r="B392" s="19" t="s">
        <v>35</v>
      </c>
      <c r="C392" s="19" t="s">
        <v>27</v>
      </c>
      <c r="D392" s="19" t="s">
        <v>65</v>
      </c>
      <c r="E392" s="19" t="s">
        <v>845</v>
      </c>
      <c r="F392" s="19" t="s">
        <v>846</v>
      </c>
      <c r="G392" s="19" t="s">
        <v>64</v>
      </c>
      <c r="H392" s="19">
        <v>26</v>
      </c>
      <c r="I392" s="19">
        <v>61</v>
      </c>
      <c r="J392" s="19" t="str">
        <f t="shared" si="6"/>
        <v>Feb</v>
      </c>
      <c r="K392" s="19" t="str">
        <f>IF(I392&lt;=Calc!$B$2,"Yes","No")</f>
        <v>No</v>
      </c>
      <c r="L392" s="19">
        <f>IF(AND(OR(Dashboard!$W$6="All",C392=Dashboard!$W$6),OR(Dashboard!$W$7="All",D392=Dashboard!$W$7)),1,0)</f>
        <v>1</v>
      </c>
      <c r="M392" s="19">
        <f>L392*IF(OR(Dashboard!$W$8="All",J392=Dashboard!$W$8),1,0)</f>
        <v>1</v>
      </c>
    </row>
    <row r="393" spans="1:13" x14ac:dyDescent="0.25">
      <c r="A393" s="23">
        <v>46067.4014930556</v>
      </c>
      <c r="B393" s="19" t="s">
        <v>33</v>
      </c>
      <c r="C393" s="19" t="s">
        <v>29</v>
      </c>
      <c r="D393" s="19" t="s">
        <v>53</v>
      </c>
      <c r="E393" s="19" t="s">
        <v>847</v>
      </c>
      <c r="F393" s="19" t="s">
        <v>848</v>
      </c>
      <c r="G393" s="19" t="s">
        <v>68</v>
      </c>
      <c r="H393" s="19">
        <v>24</v>
      </c>
      <c r="I393" s="19">
        <v>139</v>
      </c>
      <c r="J393" s="19" t="str">
        <f t="shared" si="6"/>
        <v>Feb</v>
      </c>
      <c r="K393" s="19" t="str">
        <f>IF(I393&lt;=Calc!$B$2,"Yes","No")</f>
        <v>No</v>
      </c>
      <c r="L393" s="19">
        <f>IF(AND(OR(Dashboard!$W$6="All",C393=Dashboard!$W$6),OR(Dashboard!$W$7="All",D393=Dashboard!$W$7)),1,0)</f>
        <v>1</v>
      </c>
      <c r="M393" s="19">
        <f>L393*IF(OR(Dashboard!$W$8="All",J393=Dashboard!$W$8),1,0)</f>
        <v>1</v>
      </c>
    </row>
    <row r="394" spans="1:13" x14ac:dyDescent="0.25">
      <c r="A394" s="23">
        <v>46067.4660532407</v>
      </c>
      <c r="B394" s="19" t="s">
        <v>26</v>
      </c>
      <c r="C394" s="19" t="s">
        <v>25</v>
      </c>
      <c r="D394" s="19" t="s">
        <v>65</v>
      </c>
      <c r="E394" s="19" t="s">
        <v>849</v>
      </c>
      <c r="F394" s="19" t="s">
        <v>850</v>
      </c>
      <c r="G394" s="19" t="s">
        <v>100</v>
      </c>
      <c r="H394" s="19">
        <v>34</v>
      </c>
      <c r="I394" s="19">
        <v>186</v>
      </c>
      <c r="J394" s="19" t="str">
        <f t="shared" si="6"/>
        <v>Feb</v>
      </c>
      <c r="K394" s="19" t="str">
        <f>IF(I394&lt;=Calc!$B$2,"Yes","No")</f>
        <v>No</v>
      </c>
      <c r="L394" s="19">
        <f>IF(AND(OR(Dashboard!$W$6="All",C394=Dashboard!$W$6),OR(Dashboard!$W$7="All",D394=Dashboard!$W$7)),1,0)</f>
        <v>1</v>
      </c>
      <c r="M394" s="19">
        <f>L394*IF(OR(Dashboard!$W$8="All",J394=Dashboard!$W$8),1,0)</f>
        <v>1</v>
      </c>
    </row>
    <row r="395" spans="1:13" x14ac:dyDescent="0.25">
      <c r="A395" s="23">
        <v>46067.5863425926</v>
      </c>
      <c r="B395" s="19" t="s">
        <v>36</v>
      </c>
      <c r="C395" s="19" t="s">
        <v>27</v>
      </c>
      <c r="D395" s="19" t="s">
        <v>65</v>
      </c>
      <c r="E395" s="19" t="s">
        <v>851</v>
      </c>
      <c r="F395" s="19" t="s">
        <v>852</v>
      </c>
      <c r="G395" s="19" t="s">
        <v>59</v>
      </c>
      <c r="H395" s="19">
        <v>14</v>
      </c>
      <c r="I395" s="19">
        <v>56</v>
      </c>
      <c r="J395" s="19" t="str">
        <f t="shared" si="6"/>
        <v>Feb</v>
      </c>
      <c r="K395" s="19" t="str">
        <f>IF(I395&lt;=Calc!$B$2,"Yes","No")</f>
        <v>Yes</v>
      </c>
      <c r="L395" s="19">
        <f>IF(AND(OR(Dashboard!$W$6="All",C395=Dashboard!$W$6),OR(Dashboard!$W$7="All",D395=Dashboard!$W$7)),1,0)</f>
        <v>1</v>
      </c>
      <c r="M395" s="19">
        <f>L395*IF(OR(Dashboard!$W$8="All",J395=Dashboard!$W$8),1,0)</f>
        <v>1</v>
      </c>
    </row>
    <row r="396" spans="1:13" x14ac:dyDescent="0.25">
      <c r="A396" s="23">
        <v>46067.605729166702</v>
      </c>
      <c r="B396" s="19" t="s">
        <v>35</v>
      </c>
      <c r="C396" s="19" t="s">
        <v>25</v>
      </c>
      <c r="D396" s="19" t="s">
        <v>73</v>
      </c>
      <c r="E396" s="19" t="s">
        <v>853</v>
      </c>
      <c r="F396" s="19" t="s">
        <v>854</v>
      </c>
      <c r="G396" s="19" t="s">
        <v>64</v>
      </c>
      <c r="H396" s="19">
        <v>15</v>
      </c>
      <c r="I396" s="19">
        <v>101</v>
      </c>
      <c r="J396" s="19" t="str">
        <f t="shared" si="6"/>
        <v>Feb</v>
      </c>
      <c r="K396" s="19" t="str">
        <f>IF(I396&lt;=Calc!$B$2,"Yes","No")</f>
        <v>No</v>
      </c>
      <c r="L396" s="19">
        <f>IF(AND(OR(Dashboard!$W$6="All",C396=Dashboard!$W$6),OR(Dashboard!$W$7="All",D396=Dashboard!$W$7)),1,0)</f>
        <v>1</v>
      </c>
      <c r="M396" s="19">
        <f>L396*IF(OR(Dashboard!$W$8="All",J396=Dashboard!$W$8),1,0)</f>
        <v>1</v>
      </c>
    </row>
    <row r="397" spans="1:13" x14ac:dyDescent="0.25">
      <c r="A397" s="23">
        <v>46067.826469907399</v>
      </c>
      <c r="B397" s="19" t="s">
        <v>34</v>
      </c>
      <c r="C397" s="19" t="s">
        <v>31</v>
      </c>
      <c r="D397" s="19" t="s">
        <v>65</v>
      </c>
      <c r="E397" s="19" t="s">
        <v>855</v>
      </c>
      <c r="F397" s="19" t="s">
        <v>856</v>
      </c>
      <c r="G397" s="19" t="s">
        <v>56</v>
      </c>
      <c r="H397" s="19">
        <v>24</v>
      </c>
      <c r="I397" s="19">
        <v>99</v>
      </c>
      <c r="J397" s="19" t="str">
        <f t="shared" si="6"/>
        <v>Feb</v>
      </c>
      <c r="K397" s="19" t="str">
        <f>IF(I397&lt;=Calc!$B$2,"Yes","No")</f>
        <v>No</v>
      </c>
      <c r="L397" s="19">
        <f>IF(AND(OR(Dashboard!$W$6="All",C397=Dashboard!$W$6),OR(Dashboard!$W$7="All",D397=Dashboard!$W$7)),1,0)</f>
        <v>1</v>
      </c>
      <c r="M397" s="19">
        <f>L397*IF(OR(Dashboard!$W$8="All",J397=Dashboard!$W$8),1,0)</f>
        <v>1</v>
      </c>
    </row>
    <row r="398" spans="1:13" x14ac:dyDescent="0.25">
      <c r="A398" s="23">
        <v>46067.861006944499</v>
      </c>
      <c r="B398" s="19" t="s">
        <v>28</v>
      </c>
      <c r="C398" s="19" t="s">
        <v>25</v>
      </c>
      <c r="D398" s="19" t="s">
        <v>53</v>
      </c>
      <c r="E398" s="19" t="s">
        <v>857</v>
      </c>
      <c r="F398" s="19" t="s">
        <v>858</v>
      </c>
      <c r="G398" s="19" t="s">
        <v>90</v>
      </c>
      <c r="H398" s="19">
        <v>24</v>
      </c>
      <c r="I398" s="19">
        <v>171</v>
      </c>
      <c r="J398" s="19" t="str">
        <f t="shared" si="6"/>
        <v>Feb</v>
      </c>
      <c r="K398" s="19" t="str">
        <f>IF(I398&lt;=Calc!$B$2,"Yes","No")</f>
        <v>No</v>
      </c>
      <c r="L398" s="19">
        <f>IF(AND(OR(Dashboard!$W$6="All",C398=Dashboard!$W$6),OR(Dashboard!$W$7="All",D398=Dashboard!$W$7)),1,0)</f>
        <v>1</v>
      </c>
      <c r="M398" s="19">
        <f>L398*IF(OR(Dashboard!$W$8="All",J398=Dashboard!$W$8),1,0)</f>
        <v>1</v>
      </c>
    </row>
    <row r="399" spans="1:13" x14ac:dyDescent="0.25">
      <c r="A399" s="23">
        <v>46067.916724536997</v>
      </c>
      <c r="B399" s="19" t="s">
        <v>28</v>
      </c>
      <c r="C399" s="19" t="s">
        <v>29</v>
      </c>
      <c r="D399" s="19" t="s">
        <v>69</v>
      </c>
      <c r="E399" s="19" t="s">
        <v>859</v>
      </c>
      <c r="F399" s="19" t="s">
        <v>860</v>
      </c>
      <c r="G399" s="19" t="s">
        <v>90</v>
      </c>
      <c r="H399" s="19">
        <v>34</v>
      </c>
      <c r="I399" s="19">
        <v>168</v>
      </c>
      <c r="J399" s="19" t="str">
        <f t="shared" si="6"/>
        <v>Feb</v>
      </c>
      <c r="K399" s="19" t="str">
        <f>IF(I399&lt;=Calc!$B$2,"Yes","No")</f>
        <v>No</v>
      </c>
      <c r="L399" s="19">
        <f>IF(AND(OR(Dashboard!$W$6="All",C399=Dashboard!$W$6),OR(Dashboard!$W$7="All",D399=Dashboard!$W$7)),1,0)</f>
        <v>1</v>
      </c>
      <c r="M399" s="19">
        <f>L399*IF(OR(Dashboard!$W$8="All",J399=Dashboard!$W$8),1,0)</f>
        <v>1</v>
      </c>
    </row>
    <row r="400" spans="1:13" x14ac:dyDescent="0.25">
      <c r="A400" s="23">
        <v>46067.955277777801</v>
      </c>
      <c r="B400" s="19" t="s">
        <v>28</v>
      </c>
      <c r="C400" s="19" t="s">
        <v>27</v>
      </c>
      <c r="D400" s="19" t="s">
        <v>73</v>
      </c>
      <c r="E400" s="19" t="s">
        <v>861</v>
      </c>
      <c r="F400" s="19" t="s">
        <v>862</v>
      </c>
      <c r="G400" s="19" t="s">
        <v>90</v>
      </c>
      <c r="H400" s="19">
        <v>18</v>
      </c>
      <c r="I400" s="19">
        <v>64</v>
      </c>
      <c r="J400" s="19" t="str">
        <f t="shared" si="6"/>
        <v>Feb</v>
      </c>
      <c r="K400" s="19" t="str">
        <f>IF(I400&lt;=Calc!$B$2,"Yes","No")</f>
        <v>No</v>
      </c>
      <c r="L400" s="19">
        <f>IF(AND(OR(Dashboard!$W$6="All",C400=Dashboard!$W$6),OR(Dashboard!$W$7="All",D400=Dashboard!$W$7)),1,0)</f>
        <v>1</v>
      </c>
      <c r="M400" s="19">
        <f>L400*IF(OR(Dashboard!$W$8="All",J400=Dashboard!$W$8),1,0)</f>
        <v>1</v>
      </c>
    </row>
    <row r="401" spans="1:13" x14ac:dyDescent="0.25">
      <c r="A401" s="23">
        <v>46068.536898148202</v>
      </c>
      <c r="B401" s="19" t="s">
        <v>32</v>
      </c>
      <c r="C401" s="19" t="s">
        <v>27</v>
      </c>
      <c r="D401" s="19" t="s">
        <v>69</v>
      </c>
      <c r="E401" s="19" t="s">
        <v>863</v>
      </c>
      <c r="F401" s="19" t="s">
        <v>864</v>
      </c>
      <c r="G401" s="19" t="s">
        <v>72</v>
      </c>
      <c r="H401" s="19">
        <v>15</v>
      </c>
      <c r="I401" s="19">
        <v>97</v>
      </c>
      <c r="J401" s="19" t="str">
        <f t="shared" si="6"/>
        <v>Feb</v>
      </c>
      <c r="K401" s="19" t="str">
        <f>IF(I401&lt;=Calc!$B$2,"Yes","No")</f>
        <v>No</v>
      </c>
      <c r="L401" s="19">
        <f>IF(AND(OR(Dashboard!$W$6="All",C401=Dashboard!$W$6),OR(Dashboard!$W$7="All",D401=Dashboard!$W$7)),1,0)</f>
        <v>1</v>
      </c>
      <c r="M401" s="19">
        <f>L401*IF(OR(Dashboard!$W$8="All",J401=Dashboard!$W$8),1,0)</f>
        <v>1</v>
      </c>
    </row>
    <row r="402" spans="1:13" x14ac:dyDescent="0.25">
      <c r="A402" s="23">
        <v>46068.689444444499</v>
      </c>
      <c r="B402" s="19" t="s">
        <v>34</v>
      </c>
      <c r="C402" s="19" t="s">
        <v>29</v>
      </c>
      <c r="D402" s="19" t="s">
        <v>69</v>
      </c>
      <c r="E402" s="19" t="s">
        <v>865</v>
      </c>
      <c r="F402" s="19" t="s">
        <v>866</v>
      </c>
      <c r="G402" s="19" t="s">
        <v>56</v>
      </c>
      <c r="H402" s="19">
        <v>14</v>
      </c>
      <c r="I402" s="19">
        <v>100</v>
      </c>
      <c r="J402" s="19" t="str">
        <f t="shared" si="6"/>
        <v>Feb</v>
      </c>
      <c r="K402" s="19" t="str">
        <f>IF(I402&lt;=Calc!$B$2,"Yes","No")</f>
        <v>No</v>
      </c>
      <c r="L402" s="19">
        <f>IF(AND(OR(Dashboard!$W$6="All",C402=Dashboard!$W$6),OR(Dashboard!$W$7="All",D402=Dashboard!$W$7)),1,0)</f>
        <v>1</v>
      </c>
      <c r="M402" s="19">
        <f>L402*IF(OR(Dashboard!$W$8="All",J402=Dashboard!$W$8),1,0)</f>
        <v>1</v>
      </c>
    </row>
    <row r="403" spans="1:13" x14ac:dyDescent="0.25">
      <c r="A403" s="23">
        <v>46068.7128703704</v>
      </c>
      <c r="B403" s="19" t="s">
        <v>32</v>
      </c>
      <c r="C403" s="19" t="s">
        <v>29</v>
      </c>
      <c r="D403" s="19" t="s">
        <v>73</v>
      </c>
      <c r="E403" s="19" t="s">
        <v>867</v>
      </c>
      <c r="F403" s="19" t="s">
        <v>868</v>
      </c>
      <c r="G403" s="19" t="s">
        <v>72</v>
      </c>
      <c r="H403" s="19">
        <v>19</v>
      </c>
      <c r="I403" s="19">
        <v>158</v>
      </c>
      <c r="J403" s="19" t="str">
        <f t="shared" si="6"/>
        <v>Feb</v>
      </c>
      <c r="K403" s="19" t="str">
        <f>IF(I403&lt;=Calc!$B$2,"Yes","No")</f>
        <v>No</v>
      </c>
      <c r="L403" s="19">
        <f>IF(AND(OR(Dashboard!$W$6="All",C403=Dashboard!$W$6),OR(Dashboard!$W$7="All",D403=Dashboard!$W$7)),1,0)</f>
        <v>1</v>
      </c>
      <c r="M403" s="19">
        <f>L403*IF(OR(Dashboard!$W$8="All",J403=Dashboard!$W$8),1,0)</f>
        <v>1</v>
      </c>
    </row>
    <row r="404" spans="1:13" x14ac:dyDescent="0.25">
      <c r="A404" s="23">
        <v>46068.7883449074</v>
      </c>
      <c r="B404" s="19" t="s">
        <v>36</v>
      </c>
      <c r="C404" s="19" t="s">
        <v>27</v>
      </c>
      <c r="D404" s="19" t="s">
        <v>69</v>
      </c>
      <c r="E404" s="19" t="s">
        <v>869</v>
      </c>
      <c r="F404" s="19" t="s">
        <v>870</v>
      </c>
      <c r="G404" s="19" t="s">
        <v>59</v>
      </c>
      <c r="H404" s="19">
        <v>1</v>
      </c>
      <c r="I404" s="19">
        <v>60</v>
      </c>
      <c r="J404" s="19" t="str">
        <f t="shared" si="6"/>
        <v>Feb</v>
      </c>
      <c r="K404" s="19" t="str">
        <f>IF(I404&lt;=Calc!$B$2,"Yes","No")</f>
        <v>Yes</v>
      </c>
      <c r="L404" s="19">
        <f>IF(AND(OR(Dashboard!$W$6="All",C404=Dashboard!$W$6),OR(Dashboard!$W$7="All",D404=Dashboard!$W$7)),1,0)</f>
        <v>1</v>
      </c>
      <c r="M404" s="19">
        <f>L404*IF(OR(Dashboard!$W$8="All",J404=Dashboard!$W$8),1,0)</f>
        <v>1</v>
      </c>
    </row>
    <row r="405" spans="1:13" x14ac:dyDescent="0.25">
      <c r="A405" s="23">
        <v>46068.941782407397</v>
      </c>
      <c r="B405" s="19" t="s">
        <v>35</v>
      </c>
      <c r="C405" s="19" t="s">
        <v>25</v>
      </c>
      <c r="D405" s="19" t="s">
        <v>69</v>
      </c>
      <c r="E405" s="19" t="s">
        <v>871</v>
      </c>
      <c r="F405" s="19" t="s">
        <v>872</v>
      </c>
      <c r="G405" s="19" t="s">
        <v>64</v>
      </c>
      <c r="H405" s="19">
        <v>32</v>
      </c>
      <c r="I405" s="19">
        <v>158</v>
      </c>
      <c r="J405" s="19" t="str">
        <f t="shared" si="6"/>
        <v>Feb</v>
      </c>
      <c r="K405" s="19" t="str">
        <f>IF(I405&lt;=Calc!$B$2,"Yes","No")</f>
        <v>No</v>
      </c>
      <c r="L405" s="19">
        <f>IF(AND(OR(Dashboard!$W$6="All",C405=Dashboard!$W$6),OR(Dashboard!$W$7="All",D405=Dashboard!$W$7)),1,0)</f>
        <v>1</v>
      </c>
      <c r="M405" s="19">
        <f>L405*IF(OR(Dashboard!$W$8="All",J405=Dashboard!$W$8),1,0)</f>
        <v>1</v>
      </c>
    </row>
    <row r="406" spans="1:13" x14ac:dyDescent="0.25">
      <c r="A406" s="23">
        <v>46069.0773611111</v>
      </c>
      <c r="B406" s="19" t="s">
        <v>34</v>
      </c>
      <c r="C406" s="19" t="s">
        <v>25</v>
      </c>
      <c r="D406" s="19" t="s">
        <v>69</v>
      </c>
      <c r="E406" s="19" t="s">
        <v>873</v>
      </c>
      <c r="F406" s="19" t="s">
        <v>874</v>
      </c>
      <c r="G406" s="19" t="s">
        <v>56</v>
      </c>
      <c r="H406" s="19">
        <v>24</v>
      </c>
      <c r="I406" s="19">
        <v>133</v>
      </c>
      <c r="J406" s="19" t="str">
        <f t="shared" si="6"/>
        <v>Feb</v>
      </c>
      <c r="K406" s="19" t="str">
        <f>IF(I406&lt;=Calc!$B$2,"Yes","No")</f>
        <v>No</v>
      </c>
      <c r="L406" s="19">
        <f>IF(AND(OR(Dashboard!$W$6="All",C406=Dashboard!$W$6),OR(Dashboard!$W$7="All",D406=Dashboard!$W$7)),1,0)</f>
        <v>1</v>
      </c>
      <c r="M406" s="19">
        <f>L406*IF(OR(Dashboard!$W$8="All",J406=Dashboard!$W$8),1,0)</f>
        <v>1</v>
      </c>
    </row>
    <row r="407" spans="1:13" x14ac:dyDescent="0.25">
      <c r="A407" s="23">
        <v>46069.086307870399</v>
      </c>
      <c r="B407" s="19" t="s">
        <v>36</v>
      </c>
      <c r="C407" s="19" t="s">
        <v>27</v>
      </c>
      <c r="D407" s="19" t="s">
        <v>69</v>
      </c>
      <c r="E407" s="19" t="s">
        <v>875</v>
      </c>
      <c r="F407" s="19" t="s">
        <v>876</v>
      </c>
      <c r="G407" s="19" t="s">
        <v>59</v>
      </c>
      <c r="H407" s="19">
        <v>28</v>
      </c>
      <c r="I407" s="19">
        <v>58</v>
      </c>
      <c r="J407" s="19" t="str">
        <f t="shared" si="6"/>
        <v>Feb</v>
      </c>
      <c r="K407" s="19" t="str">
        <f>IF(I407&lt;=Calc!$B$2,"Yes","No")</f>
        <v>Yes</v>
      </c>
      <c r="L407" s="19">
        <f>IF(AND(OR(Dashboard!$W$6="All",C407=Dashboard!$W$6),OR(Dashboard!$W$7="All",D407=Dashboard!$W$7)),1,0)</f>
        <v>1</v>
      </c>
      <c r="M407" s="19">
        <f>L407*IF(OR(Dashboard!$W$8="All",J407=Dashboard!$W$8),1,0)</f>
        <v>1</v>
      </c>
    </row>
    <row r="408" spans="1:13" x14ac:dyDescent="0.25">
      <c r="A408" s="23">
        <v>46069.189305555599</v>
      </c>
      <c r="B408" s="19" t="s">
        <v>28</v>
      </c>
      <c r="C408" s="19" t="s">
        <v>25</v>
      </c>
      <c r="D408" s="19" t="s">
        <v>53</v>
      </c>
      <c r="E408" s="19" t="s">
        <v>877</v>
      </c>
      <c r="F408" s="19" t="s">
        <v>878</v>
      </c>
      <c r="G408" s="19" t="s">
        <v>90</v>
      </c>
      <c r="H408" s="19">
        <v>24</v>
      </c>
      <c r="I408" s="19">
        <v>104</v>
      </c>
      <c r="J408" s="19" t="str">
        <f t="shared" si="6"/>
        <v>Feb</v>
      </c>
      <c r="K408" s="19" t="str">
        <f>IF(I408&lt;=Calc!$B$2,"Yes","No")</f>
        <v>No</v>
      </c>
      <c r="L408" s="19">
        <f>IF(AND(OR(Dashboard!$W$6="All",C408=Dashboard!$W$6),OR(Dashboard!$W$7="All",D408=Dashboard!$W$7)),1,0)</f>
        <v>1</v>
      </c>
      <c r="M408" s="19">
        <f>L408*IF(OR(Dashboard!$W$8="All",J408=Dashboard!$W$8),1,0)</f>
        <v>1</v>
      </c>
    </row>
    <row r="409" spans="1:13" x14ac:dyDescent="0.25">
      <c r="A409" s="23">
        <v>46069.200902777797</v>
      </c>
      <c r="B409" s="19" t="s">
        <v>28</v>
      </c>
      <c r="C409" s="19" t="s">
        <v>25</v>
      </c>
      <c r="D409" s="19" t="s">
        <v>69</v>
      </c>
      <c r="E409" s="19" t="s">
        <v>879</v>
      </c>
      <c r="F409" s="19" t="s">
        <v>880</v>
      </c>
      <c r="G409" s="19" t="s">
        <v>90</v>
      </c>
      <c r="H409" s="19">
        <v>35</v>
      </c>
      <c r="I409" s="19">
        <v>176</v>
      </c>
      <c r="J409" s="19" t="str">
        <f t="shared" si="6"/>
        <v>Feb</v>
      </c>
      <c r="K409" s="19" t="str">
        <f>IF(I409&lt;=Calc!$B$2,"Yes","No")</f>
        <v>No</v>
      </c>
      <c r="L409" s="19">
        <f>IF(AND(OR(Dashboard!$W$6="All",C409=Dashboard!$W$6),OR(Dashboard!$W$7="All",D409=Dashboard!$W$7)),1,0)</f>
        <v>1</v>
      </c>
      <c r="M409" s="19">
        <f>L409*IF(OR(Dashboard!$W$8="All",J409=Dashboard!$W$8),1,0)</f>
        <v>1</v>
      </c>
    </row>
    <row r="410" spans="1:13" x14ac:dyDescent="0.25">
      <c r="A410" s="23">
        <v>46069.5537847222</v>
      </c>
      <c r="B410" s="19" t="s">
        <v>32</v>
      </c>
      <c r="C410" s="19" t="s">
        <v>27</v>
      </c>
      <c r="D410" s="19" t="s">
        <v>73</v>
      </c>
      <c r="E410" s="19" t="s">
        <v>881</v>
      </c>
      <c r="F410" s="19" t="s">
        <v>882</v>
      </c>
      <c r="G410" s="19" t="s">
        <v>72</v>
      </c>
      <c r="H410" s="19">
        <v>10</v>
      </c>
      <c r="I410" s="19">
        <v>66</v>
      </c>
      <c r="J410" s="19" t="str">
        <f t="shared" si="6"/>
        <v>Feb</v>
      </c>
      <c r="K410" s="19" t="str">
        <f>IF(I410&lt;=Calc!$B$2,"Yes","No")</f>
        <v>No</v>
      </c>
      <c r="L410" s="19">
        <f>IF(AND(OR(Dashboard!$W$6="All",C410=Dashboard!$W$6),OR(Dashboard!$W$7="All",D410=Dashboard!$W$7)),1,0)</f>
        <v>1</v>
      </c>
      <c r="M410" s="19">
        <f>L410*IF(OR(Dashboard!$W$8="All",J410=Dashboard!$W$8),1,0)</f>
        <v>1</v>
      </c>
    </row>
    <row r="411" spans="1:13" x14ac:dyDescent="0.25">
      <c r="A411" s="23">
        <v>46069.598900463003</v>
      </c>
      <c r="B411" s="19" t="s">
        <v>36</v>
      </c>
      <c r="C411" s="19" t="s">
        <v>25</v>
      </c>
      <c r="D411" s="19" t="s">
        <v>73</v>
      </c>
      <c r="E411" s="19" t="s">
        <v>883</v>
      </c>
      <c r="F411" s="19" t="s">
        <v>884</v>
      </c>
      <c r="G411" s="19" t="s">
        <v>59</v>
      </c>
      <c r="H411" s="19">
        <v>40</v>
      </c>
      <c r="I411" s="19">
        <v>196</v>
      </c>
      <c r="J411" s="19" t="str">
        <f t="shared" si="6"/>
        <v>Feb</v>
      </c>
      <c r="K411" s="19" t="str">
        <f>IF(I411&lt;=Calc!$B$2,"Yes","No")</f>
        <v>No</v>
      </c>
      <c r="L411" s="19">
        <f>IF(AND(OR(Dashboard!$W$6="All",C411=Dashboard!$W$6),OR(Dashboard!$W$7="All",D411=Dashboard!$W$7)),1,0)</f>
        <v>1</v>
      </c>
      <c r="M411" s="19">
        <f>L411*IF(OR(Dashboard!$W$8="All",J411=Dashboard!$W$8),1,0)</f>
        <v>1</v>
      </c>
    </row>
    <row r="412" spans="1:13" x14ac:dyDescent="0.25">
      <c r="A412" s="23">
        <v>46069.635254629597</v>
      </c>
      <c r="B412" s="19" t="s">
        <v>34</v>
      </c>
      <c r="C412" s="19" t="s">
        <v>25</v>
      </c>
      <c r="D412" s="19" t="s">
        <v>73</v>
      </c>
      <c r="E412" s="19" t="s">
        <v>885</v>
      </c>
      <c r="F412" s="19" t="s">
        <v>886</v>
      </c>
      <c r="G412" s="19" t="s">
        <v>56</v>
      </c>
      <c r="H412" s="19">
        <v>36</v>
      </c>
      <c r="I412" s="19">
        <v>118</v>
      </c>
      <c r="J412" s="19" t="str">
        <f t="shared" si="6"/>
        <v>Feb</v>
      </c>
      <c r="K412" s="19" t="str">
        <f>IF(I412&lt;=Calc!$B$2,"Yes","No")</f>
        <v>No</v>
      </c>
      <c r="L412" s="19">
        <f>IF(AND(OR(Dashboard!$W$6="All",C412=Dashboard!$W$6),OR(Dashboard!$W$7="All",D412=Dashboard!$W$7)),1,0)</f>
        <v>1</v>
      </c>
      <c r="M412" s="19">
        <f>L412*IF(OR(Dashboard!$W$8="All",J412=Dashboard!$W$8),1,0)</f>
        <v>1</v>
      </c>
    </row>
    <row r="413" spans="1:13" x14ac:dyDescent="0.25">
      <c r="A413" s="23">
        <v>46069.7907291667</v>
      </c>
      <c r="B413" s="19" t="s">
        <v>26</v>
      </c>
      <c r="C413" s="19" t="s">
        <v>25</v>
      </c>
      <c r="D413" s="19" t="s">
        <v>65</v>
      </c>
      <c r="E413" s="19" t="s">
        <v>887</v>
      </c>
      <c r="F413" s="19" t="s">
        <v>888</v>
      </c>
      <c r="G413" s="19" t="s">
        <v>100</v>
      </c>
      <c r="H413" s="19">
        <v>15</v>
      </c>
      <c r="I413" s="19">
        <v>154</v>
      </c>
      <c r="J413" s="19" t="str">
        <f t="shared" si="6"/>
        <v>Feb</v>
      </c>
      <c r="K413" s="19" t="str">
        <f>IF(I413&lt;=Calc!$B$2,"Yes","No")</f>
        <v>No</v>
      </c>
      <c r="L413" s="19">
        <f>IF(AND(OR(Dashboard!$W$6="All",C413=Dashboard!$W$6),OR(Dashboard!$W$7="All",D413=Dashboard!$W$7)),1,0)</f>
        <v>1</v>
      </c>
      <c r="M413" s="19">
        <f>L413*IF(OR(Dashboard!$W$8="All",J413=Dashboard!$W$8),1,0)</f>
        <v>1</v>
      </c>
    </row>
    <row r="414" spans="1:13" x14ac:dyDescent="0.25">
      <c r="A414" s="23">
        <v>46069.846053240697</v>
      </c>
      <c r="B414" s="19" t="s">
        <v>32</v>
      </c>
      <c r="C414" s="19" t="s">
        <v>31</v>
      </c>
      <c r="D414" s="19" t="s">
        <v>73</v>
      </c>
      <c r="E414" s="19" t="s">
        <v>889</v>
      </c>
      <c r="F414" s="19" t="s">
        <v>890</v>
      </c>
      <c r="G414" s="19" t="s">
        <v>72</v>
      </c>
      <c r="H414" s="19">
        <v>7</v>
      </c>
      <c r="I414" s="19">
        <v>65</v>
      </c>
      <c r="J414" s="19" t="str">
        <f t="shared" si="6"/>
        <v>Feb</v>
      </c>
      <c r="K414" s="19" t="str">
        <f>IF(I414&lt;=Calc!$B$2,"Yes","No")</f>
        <v>No</v>
      </c>
      <c r="L414" s="19">
        <f>IF(AND(OR(Dashboard!$W$6="All",C414=Dashboard!$W$6),OR(Dashboard!$W$7="All",D414=Dashboard!$W$7)),1,0)</f>
        <v>1</v>
      </c>
      <c r="M414" s="19">
        <f>L414*IF(OR(Dashboard!$W$8="All",J414=Dashboard!$W$8),1,0)</f>
        <v>1</v>
      </c>
    </row>
    <row r="415" spans="1:13" x14ac:dyDescent="0.25">
      <c r="A415" s="23">
        <v>46070.024884259299</v>
      </c>
      <c r="B415" s="19" t="s">
        <v>33</v>
      </c>
      <c r="C415" s="19" t="s">
        <v>27</v>
      </c>
      <c r="D415" s="19" t="s">
        <v>69</v>
      </c>
      <c r="E415" s="19" t="s">
        <v>891</v>
      </c>
      <c r="F415" s="19" t="s">
        <v>892</v>
      </c>
      <c r="G415" s="19" t="s">
        <v>68</v>
      </c>
      <c r="H415" s="19">
        <v>22</v>
      </c>
      <c r="I415" s="19">
        <v>57</v>
      </c>
      <c r="J415" s="19" t="str">
        <f t="shared" si="6"/>
        <v>Feb</v>
      </c>
      <c r="K415" s="19" t="str">
        <f>IF(I415&lt;=Calc!$B$2,"Yes","No")</f>
        <v>Yes</v>
      </c>
      <c r="L415" s="19">
        <f>IF(AND(OR(Dashboard!$W$6="All",C415=Dashboard!$W$6),OR(Dashboard!$W$7="All",D415=Dashboard!$W$7)),1,0)</f>
        <v>1</v>
      </c>
      <c r="M415" s="19">
        <f>L415*IF(OR(Dashboard!$W$8="All",J415=Dashboard!$W$8),1,0)</f>
        <v>1</v>
      </c>
    </row>
    <row r="416" spans="1:13" x14ac:dyDescent="0.25">
      <c r="A416" s="23">
        <v>46070.036423611098</v>
      </c>
      <c r="B416" s="19" t="s">
        <v>35</v>
      </c>
      <c r="C416" s="19" t="s">
        <v>29</v>
      </c>
      <c r="D416" s="19" t="s">
        <v>53</v>
      </c>
      <c r="E416" s="19" t="s">
        <v>893</v>
      </c>
      <c r="F416" s="19" t="s">
        <v>894</v>
      </c>
      <c r="G416" s="19" t="s">
        <v>64</v>
      </c>
      <c r="H416" s="19">
        <v>38</v>
      </c>
      <c r="I416" s="19">
        <v>142</v>
      </c>
      <c r="J416" s="19" t="str">
        <f t="shared" si="6"/>
        <v>Feb</v>
      </c>
      <c r="K416" s="19" t="str">
        <f>IF(I416&lt;=Calc!$B$2,"Yes","No")</f>
        <v>No</v>
      </c>
      <c r="L416" s="19">
        <f>IF(AND(OR(Dashboard!$W$6="All",C416=Dashboard!$W$6),OR(Dashboard!$W$7="All",D416=Dashboard!$W$7)),1,0)</f>
        <v>1</v>
      </c>
      <c r="M416" s="19">
        <f>L416*IF(OR(Dashboard!$W$8="All",J416=Dashboard!$W$8),1,0)</f>
        <v>1</v>
      </c>
    </row>
    <row r="417" spans="1:13" x14ac:dyDescent="0.25">
      <c r="A417" s="23">
        <v>46070.050856481503</v>
      </c>
      <c r="B417" s="19" t="s">
        <v>26</v>
      </c>
      <c r="C417" s="19" t="s">
        <v>27</v>
      </c>
      <c r="D417" s="19" t="s">
        <v>65</v>
      </c>
      <c r="E417" s="19" t="s">
        <v>895</v>
      </c>
      <c r="F417" s="19" t="s">
        <v>896</v>
      </c>
      <c r="G417" s="19" t="s">
        <v>100</v>
      </c>
      <c r="H417" s="19">
        <v>31</v>
      </c>
      <c r="I417" s="19">
        <v>36</v>
      </c>
      <c r="J417" s="19" t="str">
        <f t="shared" si="6"/>
        <v>Feb</v>
      </c>
      <c r="K417" s="19" t="str">
        <f>IF(I417&lt;=Calc!$B$2,"Yes","No")</f>
        <v>Yes</v>
      </c>
      <c r="L417" s="19">
        <f>IF(AND(OR(Dashboard!$W$6="All",C417=Dashboard!$W$6),OR(Dashboard!$W$7="All",D417=Dashboard!$W$7)),1,0)</f>
        <v>1</v>
      </c>
      <c r="M417" s="19">
        <f>L417*IF(OR(Dashboard!$W$8="All",J417=Dashboard!$W$8),1,0)</f>
        <v>1</v>
      </c>
    </row>
    <row r="418" spans="1:13" x14ac:dyDescent="0.25">
      <c r="A418" s="23">
        <v>46070.247349537</v>
      </c>
      <c r="B418" s="19" t="s">
        <v>35</v>
      </c>
      <c r="C418" s="19" t="s">
        <v>25</v>
      </c>
      <c r="D418" s="19" t="s">
        <v>65</v>
      </c>
      <c r="E418" s="19" t="s">
        <v>897</v>
      </c>
      <c r="F418" s="19" t="s">
        <v>898</v>
      </c>
      <c r="G418" s="19" t="s">
        <v>64</v>
      </c>
      <c r="H418" s="19">
        <v>26</v>
      </c>
      <c r="I418" s="19">
        <v>190</v>
      </c>
      <c r="J418" s="19" t="str">
        <f t="shared" si="6"/>
        <v>Feb</v>
      </c>
      <c r="K418" s="19" t="str">
        <f>IF(I418&lt;=Calc!$B$2,"Yes","No")</f>
        <v>No</v>
      </c>
      <c r="L418" s="19">
        <f>IF(AND(OR(Dashboard!$W$6="All",C418=Dashboard!$W$6),OR(Dashboard!$W$7="All",D418=Dashboard!$W$7)),1,0)</f>
        <v>1</v>
      </c>
      <c r="M418" s="19">
        <f>L418*IF(OR(Dashboard!$W$8="All",J418=Dashboard!$W$8),1,0)</f>
        <v>1</v>
      </c>
    </row>
    <row r="419" spans="1:13" x14ac:dyDescent="0.25">
      <c r="A419" s="23">
        <v>46070.264039351903</v>
      </c>
      <c r="B419" s="19" t="s">
        <v>34</v>
      </c>
      <c r="C419" s="19" t="s">
        <v>31</v>
      </c>
      <c r="D419" s="19" t="s">
        <v>73</v>
      </c>
      <c r="E419" s="19" t="s">
        <v>899</v>
      </c>
      <c r="F419" s="19" t="s">
        <v>900</v>
      </c>
      <c r="G419" s="19" t="s">
        <v>56</v>
      </c>
      <c r="H419" s="19">
        <v>3</v>
      </c>
      <c r="I419" s="19">
        <v>59</v>
      </c>
      <c r="J419" s="19" t="str">
        <f t="shared" si="6"/>
        <v>Feb</v>
      </c>
      <c r="K419" s="19" t="str">
        <f>IF(I419&lt;=Calc!$B$2,"Yes","No")</f>
        <v>Yes</v>
      </c>
      <c r="L419" s="19">
        <f>IF(AND(OR(Dashboard!$W$6="All",C419=Dashboard!$W$6),OR(Dashboard!$W$7="All",D419=Dashboard!$W$7)),1,0)</f>
        <v>1</v>
      </c>
      <c r="M419" s="19">
        <f>L419*IF(OR(Dashboard!$W$8="All",J419=Dashboard!$W$8),1,0)</f>
        <v>1</v>
      </c>
    </row>
    <row r="420" spans="1:13" x14ac:dyDescent="0.25">
      <c r="A420" s="23">
        <v>46070.375</v>
      </c>
      <c r="B420" s="19" t="s">
        <v>35</v>
      </c>
      <c r="C420" s="19" t="s">
        <v>27</v>
      </c>
      <c r="D420" s="19" t="s">
        <v>69</v>
      </c>
      <c r="E420" s="19" t="s">
        <v>901</v>
      </c>
      <c r="F420" s="19" t="s">
        <v>902</v>
      </c>
      <c r="G420" s="19" t="s">
        <v>64</v>
      </c>
      <c r="H420" s="19">
        <v>28</v>
      </c>
      <c r="I420" s="19">
        <v>76</v>
      </c>
      <c r="J420" s="19" t="str">
        <f t="shared" si="6"/>
        <v>Feb</v>
      </c>
      <c r="K420" s="19" t="str">
        <f>IF(I420&lt;=Calc!$B$2,"Yes","No")</f>
        <v>No</v>
      </c>
      <c r="L420" s="19">
        <f>IF(AND(OR(Dashboard!$W$6="All",C420=Dashboard!$W$6),OR(Dashboard!$W$7="All",D420=Dashboard!$W$7)),1,0)</f>
        <v>1</v>
      </c>
      <c r="M420" s="19">
        <f>L420*IF(OR(Dashboard!$W$8="All",J420=Dashboard!$W$8),1,0)</f>
        <v>1</v>
      </c>
    </row>
    <row r="421" spans="1:13" x14ac:dyDescent="0.25">
      <c r="A421" s="23">
        <v>46070.436203703699</v>
      </c>
      <c r="B421" s="19" t="s">
        <v>34</v>
      </c>
      <c r="C421" s="19" t="s">
        <v>25</v>
      </c>
      <c r="D421" s="19" t="s">
        <v>53</v>
      </c>
      <c r="E421" s="19" t="s">
        <v>903</v>
      </c>
      <c r="F421" s="19" t="s">
        <v>904</v>
      </c>
      <c r="G421" s="19" t="s">
        <v>56</v>
      </c>
      <c r="H421" s="19">
        <v>43</v>
      </c>
      <c r="I421" s="19">
        <v>187</v>
      </c>
      <c r="J421" s="19" t="str">
        <f t="shared" si="6"/>
        <v>Feb</v>
      </c>
      <c r="K421" s="19" t="str">
        <f>IF(I421&lt;=Calc!$B$2,"Yes","No")</f>
        <v>No</v>
      </c>
      <c r="L421" s="19">
        <f>IF(AND(OR(Dashboard!$W$6="All",C421=Dashboard!$W$6),OR(Dashboard!$W$7="All",D421=Dashboard!$W$7)),1,0)</f>
        <v>1</v>
      </c>
      <c r="M421" s="19">
        <f>L421*IF(OR(Dashboard!$W$8="All",J421=Dashboard!$W$8),1,0)</f>
        <v>1</v>
      </c>
    </row>
    <row r="422" spans="1:13" x14ac:dyDescent="0.25">
      <c r="A422" s="23">
        <v>46070.4480092593</v>
      </c>
      <c r="B422" s="19" t="s">
        <v>32</v>
      </c>
      <c r="C422" s="19" t="s">
        <v>25</v>
      </c>
      <c r="D422" s="19" t="s">
        <v>69</v>
      </c>
      <c r="E422" s="19" t="s">
        <v>905</v>
      </c>
      <c r="F422" s="19" t="s">
        <v>906</v>
      </c>
      <c r="G422" s="19" t="s">
        <v>72</v>
      </c>
      <c r="H422" s="19">
        <v>13</v>
      </c>
      <c r="I422" s="19">
        <v>162</v>
      </c>
      <c r="J422" s="19" t="str">
        <f t="shared" si="6"/>
        <v>Feb</v>
      </c>
      <c r="K422" s="19" t="str">
        <f>IF(I422&lt;=Calc!$B$2,"Yes","No")</f>
        <v>No</v>
      </c>
      <c r="L422" s="19">
        <f>IF(AND(OR(Dashboard!$W$6="All",C422=Dashboard!$W$6),OR(Dashboard!$W$7="All",D422=Dashboard!$W$7)),1,0)</f>
        <v>1</v>
      </c>
      <c r="M422" s="19">
        <f>L422*IF(OR(Dashboard!$W$8="All",J422=Dashboard!$W$8),1,0)</f>
        <v>1</v>
      </c>
    </row>
    <row r="423" spans="1:13" x14ac:dyDescent="0.25">
      <c r="A423" s="23">
        <v>46070.486585648199</v>
      </c>
      <c r="B423" s="19" t="s">
        <v>35</v>
      </c>
      <c r="C423" s="19" t="s">
        <v>25</v>
      </c>
      <c r="D423" s="19" t="s">
        <v>65</v>
      </c>
      <c r="E423" s="19" t="s">
        <v>907</v>
      </c>
      <c r="F423" s="19" t="s">
        <v>908</v>
      </c>
      <c r="G423" s="19" t="s">
        <v>64</v>
      </c>
      <c r="H423" s="19">
        <v>26</v>
      </c>
      <c r="I423" s="19">
        <v>174</v>
      </c>
      <c r="J423" s="19" t="str">
        <f t="shared" si="6"/>
        <v>Feb</v>
      </c>
      <c r="K423" s="19" t="str">
        <f>IF(I423&lt;=Calc!$B$2,"Yes","No")</f>
        <v>No</v>
      </c>
      <c r="L423" s="19">
        <f>IF(AND(OR(Dashboard!$W$6="All",C423=Dashboard!$W$6),OR(Dashboard!$W$7="All",D423=Dashboard!$W$7)),1,0)</f>
        <v>1</v>
      </c>
      <c r="M423" s="19">
        <f>L423*IF(OR(Dashboard!$W$8="All",J423=Dashboard!$W$8),1,0)</f>
        <v>1</v>
      </c>
    </row>
    <row r="424" spans="1:13" x14ac:dyDescent="0.25">
      <c r="A424" s="23">
        <v>46070.632106481498</v>
      </c>
      <c r="B424" s="19" t="s">
        <v>33</v>
      </c>
      <c r="C424" s="19" t="s">
        <v>27</v>
      </c>
      <c r="D424" s="19" t="s">
        <v>69</v>
      </c>
      <c r="E424" s="19" t="s">
        <v>909</v>
      </c>
      <c r="F424" s="19" t="s">
        <v>910</v>
      </c>
      <c r="G424" s="19" t="s">
        <v>68</v>
      </c>
      <c r="H424" s="19">
        <v>29</v>
      </c>
      <c r="I424" s="19">
        <v>80</v>
      </c>
      <c r="J424" s="19" t="str">
        <f t="shared" si="6"/>
        <v>Feb</v>
      </c>
      <c r="K424" s="19" t="str">
        <f>IF(I424&lt;=Calc!$B$2,"Yes","No")</f>
        <v>No</v>
      </c>
      <c r="L424" s="19">
        <f>IF(AND(OR(Dashboard!$W$6="All",C424=Dashboard!$W$6),OR(Dashboard!$W$7="All",D424=Dashboard!$W$7)),1,0)</f>
        <v>1</v>
      </c>
      <c r="M424" s="19">
        <f>L424*IF(OR(Dashboard!$W$8="All",J424=Dashboard!$W$8),1,0)</f>
        <v>1</v>
      </c>
    </row>
    <row r="425" spans="1:13" x14ac:dyDescent="0.25">
      <c r="A425" s="23">
        <v>46070.790474537003</v>
      </c>
      <c r="B425" s="19" t="s">
        <v>30</v>
      </c>
      <c r="C425" s="19" t="s">
        <v>25</v>
      </c>
      <c r="D425" s="19" t="s">
        <v>53</v>
      </c>
      <c r="E425" s="19" t="s">
        <v>911</v>
      </c>
      <c r="F425" s="19" t="s">
        <v>912</v>
      </c>
      <c r="G425" s="19" t="s">
        <v>93</v>
      </c>
      <c r="H425" s="19">
        <v>39</v>
      </c>
      <c r="I425" s="19">
        <v>112</v>
      </c>
      <c r="J425" s="19" t="str">
        <f t="shared" si="6"/>
        <v>Feb</v>
      </c>
      <c r="K425" s="19" t="str">
        <f>IF(I425&lt;=Calc!$B$2,"Yes","No")</f>
        <v>No</v>
      </c>
      <c r="L425" s="19">
        <f>IF(AND(OR(Dashboard!$W$6="All",C425=Dashboard!$W$6),OR(Dashboard!$W$7="All",D425=Dashboard!$W$7)),1,0)</f>
        <v>1</v>
      </c>
      <c r="M425" s="19">
        <f>L425*IF(OR(Dashboard!$W$8="All",J425=Dashboard!$W$8),1,0)</f>
        <v>1</v>
      </c>
    </row>
    <row r="426" spans="1:13" x14ac:dyDescent="0.25">
      <c r="A426" s="23">
        <v>46071.140787037002</v>
      </c>
      <c r="B426" s="19" t="s">
        <v>34</v>
      </c>
      <c r="C426" s="19" t="s">
        <v>27</v>
      </c>
      <c r="D426" s="19" t="s">
        <v>53</v>
      </c>
      <c r="E426" s="19" t="s">
        <v>913</v>
      </c>
      <c r="F426" s="19" t="s">
        <v>914</v>
      </c>
      <c r="G426" s="19" t="s">
        <v>56</v>
      </c>
      <c r="H426" s="19">
        <v>3</v>
      </c>
      <c r="I426" s="19">
        <v>61</v>
      </c>
      <c r="J426" s="19" t="str">
        <f t="shared" si="6"/>
        <v>Feb</v>
      </c>
      <c r="K426" s="19" t="str">
        <f>IF(I426&lt;=Calc!$B$2,"Yes","No")</f>
        <v>No</v>
      </c>
      <c r="L426" s="19">
        <f>IF(AND(OR(Dashboard!$W$6="All",C426=Dashboard!$W$6),OR(Dashboard!$W$7="All",D426=Dashboard!$W$7)),1,0)</f>
        <v>1</v>
      </c>
      <c r="M426" s="19">
        <f>L426*IF(OR(Dashboard!$W$8="All",J426=Dashboard!$W$8),1,0)</f>
        <v>1</v>
      </c>
    </row>
    <row r="427" spans="1:13" x14ac:dyDescent="0.25">
      <c r="A427" s="23">
        <v>46071.174780092602</v>
      </c>
      <c r="B427" s="19" t="s">
        <v>30</v>
      </c>
      <c r="C427" s="19" t="s">
        <v>27</v>
      </c>
      <c r="D427" s="19" t="s">
        <v>53</v>
      </c>
      <c r="E427" s="19" t="s">
        <v>915</v>
      </c>
      <c r="F427" s="19" t="s">
        <v>916</v>
      </c>
      <c r="G427" s="19" t="s">
        <v>93</v>
      </c>
      <c r="H427" s="19">
        <v>12</v>
      </c>
      <c r="I427" s="19">
        <v>61</v>
      </c>
      <c r="J427" s="19" t="str">
        <f t="shared" si="6"/>
        <v>Feb</v>
      </c>
      <c r="K427" s="19" t="str">
        <f>IF(I427&lt;=Calc!$B$2,"Yes","No")</f>
        <v>No</v>
      </c>
      <c r="L427" s="19">
        <f>IF(AND(OR(Dashboard!$W$6="All",C427=Dashboard!$W$6),OR(Dashboard!$W$7="All",D427=Dashboard!$W$7)),1,0)</f>
        <v>1</v>
      </c>
      <c r="M427" s="19">
        <f>L427*IF(OR(Dashboard!$W$8="All",J427=Dashboard!$W$8),1,0)</f>
        <v>1</v>
      </c>
    </row>
    <row r="428" spans="1:13" x14ac:dyDescent="0.25">
      <c r="A428" s="23">
        <v>46071.290162037003</v>
      </c>
      <c r="B428" s="19" t="s">
        <v>32</v>
      </c>
      <c r="C428" s="19" t="s">
        <v>29</v>
      </c>
      <c r="D428" s="19" t="s">
        <v>69</v>
      </c>
      <c r="E428" s="19" t="s">
        <v>917</v>
      </c>
      <c r="F428" s="19" t="s">
        <v>918</v>
      </c>
      <c r="G428" s="19" t="s">
        <v>72</v>
      </c>
      <c r="H428" s="19">
        <v>25</v>
      </c>
      <c r="I428" s="19">
        <v>149</v>
      </c>
      <c r="J428" s="19" t="str">
        <f t="shared" si="6"/>
        <v>Feb</v>
      </c>
      <c r="K428" s="19" t="str">
        <f>IF(I428&lt;=Calc!$B$2,"Yes","No")</f>
        <v>No</v>
      </c>
      <c r="L428" s="19">
        <f>IF(AND(OR(Dashboard!$W$6="All",C428=Dashboard!$W$6),OR(Dashboard!$W$7="All",D428=Dashboard!$W$7)),1,0)</f>
        <v>1</v>
      </c>
      <c r="M428" s="19">
        <f>L428*IF(OR(Dashboard!$W$8="All",J428=Dashboard!$W$8),1,0)</f>
        <v>1</v>
      </c>
    </row>
    <row r="429" spans="1:13" x14ac:dyDescent="0.25">
      <c r="A429" s="23">
        <v>46071.304722222201</v>
      </c>
      <c r="B429" s="19" t="s">
        <v>32</v>
      </c>
      <c r="C429" s="19" t="s">
        <v>27</v>
      </c>
      <c r="D429" s="19" t="s">
        <v>69</v>
      </c>
      <c r="E429" s="19" t="s">
        <v>919</v>
      </c>
      <c r="F429" s="19" t="s">
        <v>920</v>
      </c>
      <c r="G429" s="19" t="s">
        <v>72</v>
      </c>
      <c r="H429" s="19">
        <v>11</v>
      </c>
      <c r="I429" s="19">
        <v>87</v>
      </c>
      <c r="J429" s="19" t="str">
        <f t="shared" si="6"/>
        <v>Feb</v>
      </c>
      <c r="K429" s="19" t="str">
        <f>IF(I429&lt;=Calc!$B$2,"Yes","No")</f>
        <v>No</v>
      </c>
      <c r="L429" s="19">
        <f>IF(AND(OR(Dashboard!$W$6="All",C429=Dashboard!$W$6),OR(Dashboard!$W$7="All",D429=Dashboard!$W$7)),1,0)</f>
        <v>1</v>
      </c>
      <c r="M429" s="19">
        <f>L429*IF(OR(Dashboard!$W$8="All",J429=Dashboard!$W$8),1,0)</f>
        <v>1</v>
      </c>
    </row>
    <row r="430" spans="1:13" x14ac:dyDescent="0.25">
      <c r="A430" s="23">
        <v>46071.398877314801</v>
      </c>
      <c r="B430" s="19" t="s">
        <v>32</v>
      </c>
      <c r="C430" s="19" t="s">
        <v>25</v>
      </c>
      <c r="D430" s="19" t="s">
        <v>53</v>
      </c>
      <c r="E430" s="19" t="s">
        <v>921</v>
      </c>
      <c r="F430" s="19" t="s">
        <v>922</v>
      </c>
      <c r="G430" s="19" t="s">
        <v>72</v>
      </c>
      <c r="H430" s="19">
        <v>16</v>
      </c>
      <c r="I430" s="19">
        <v>131</v>
      </c>
      <c r="J430" s="19" t="str">
        <f t="shared" si="6"/>
        <v>Feb</v>
      </c>
      <c r="K430" s="19" t="str">
        <f>IF(I430&lt;=Calc!$B$2,"Yes","No")</f>
        <v>No</v>
      </c>
      <c r="L430" s="19">
        <f>IF(AND(OR(Dashboard!$W$6="All",C430=Dashboard!$W$6),OR(Dashboard!$W$7="All",D430=Dashboard!$W$7)),1,0)</f>
        <v>1</v>
      </c>
      <c r="M430" s="19">
        <f>L430*IF(OR(Dashboard!$W$8="All",J430=Dashboard!$W$8),1,0)</f>
        <v>1</v>
      </c>
    </row>
    <row r="431" spans="1:13" x14ac:dyDescent="0.25">
      <c r="A431" s="23">
        <v>46071.504652777803</v>
      </c>
      <c r="B431" s="19" t="s">
        <v>34</v>
      </c>
      <c r="C431" s="19" t="s">
        <v>27</v>
      </c>
      <c r="D431" s="19" t="s">
        <v>53</v>
      </c>
      <c r="E431" s="19" t="s">
        <v>923</v>
      </c>
      <c r="F431" s="19" t="s">
        <v>924</v>
      </c>
      <c r="G431" s="19" t="s">
        <v>56</v>
      </c>
      <c r="H431" s="19">
        <v>10</v>
      </c>
      <c r="I431" s="19">
        <v>70</v>
      </c>
      <c r="J431" s="19" t="str">
        <f t="shared" si="6"/>
        <v>Feb</v>
      </c>
      <c r="K431" s="19" t="str">
        <f>IF(I431&lt;=Calc!$B$2,"Yes","No")</f>
        <v>No</v>
      </c>
      <c r="L431" s="19">
        <f>IF(AND(OR(Dashboard!$W$6="All",C431=Dashboard!$W$6),OR(Dashboard!$W$7="All",D431=Dashboard!$W$7)),1,0)</f>
        <v>1</v>
      </c>
      <c r="M431" s="19">
        <f>L431*IF(OR(Dashboard!$W$8="All",J431=Dashboard!$W$8),1,0)</f>
        <v>1</v>
      </c>
    </row>
    <row r="432" spans="1:13" x14ac:dyDescent="0.25">
      <c r="A432" s="23">
        <v>46071.767627314803</v>
      </c>
      <c r="B432" s="19" t="s">
        <v>36</v>
      </c>
      <c r="C432" s="19" t="s">
        <v>25</v>
      </c>
      <c r="D432" s="19" t="s">
        <v>53</v>
      </c>
      <c r="E432" s="19" t="s">
        <v>925</v>
      </c>
      <c r="F432" s="19" t="s">
        <v>926</v>
      </c>
      <c r="G432" s="19" t="s">
        <v>59</v>
      </c>
      <c r="H432" s="19">
        <v>27</v>
      </c>
      <c r="I432" s="19">
        <v>147</v>
      </c>
      <c r="J432" s="19" t="str">
        <f t="shared" si="6"/>
        <v>Feb</v>
      </c>
      <c r="K432" s="19" t="str">
        <f>IF(I432&lt;=Calc!$B$2,"Yes","No")</f>
        <v>No</v>
      </c>
      <c r="L432" s="19">
        <f>IF(AND(OR(Dashboard!$W$6="All",C432=Dashboard!$W$6),OR(Dashboard!$W$7="All",D432=Dashboard!$W$7)),1,0)</f>
        <v>1</v>
      </c>
      <c r="M432" s="19">
        <f>L432*IF(OR(Dashboard!$W$8="All",J432=Dashboard!$W$8),1,0)</f>
        <v>1</v>
      </c>
    </row>
    <row r="433" spans="1:13" x14ac:dyDescent="0.25">
      <c r="A433" s="23">
        <v>46071.785497685203</v>
      </c>
      <c r="B433" s="19" t="s">
        <v>34</v>
      </c>
      <c r="C433" s="19" t="s">
        <v>25</v>
      </c>
      <c r="D433" s="19" t="s">
        <v>69</v>
      </c>
      <c r="E433" s="19" t="s">
        <v>927</v>
      </c>
      <c r="F433" s="19" t="s">
        <v>928</v>
      </c>
      <c r="G433" s="19" t="s">
        <v>56</v>
      </c>
      <c r="H433" s="19">
        <v>17</v>
      </c>
      <c r="I433" s="19">
        <v>142</v>
      </c>
      <c r="J433" s="19" t="str">
        <f t="shared" si="6"/>
        <v>Feb</v>
      </c>
      <c r="K433" s="19" t="str">
        <f>IF(I433&lt;=Calc!$B$2,"Yes","No")</f>
        <v>No</v>
      </c>
      <c r="L433" s="19">
        <f>IF(AND(OR(Dashboard!$W$6="All",C433=Dashboard!$W$6),OR(Dashboard!$W$7="All",D433=Dashboard!$W$7)),1,0)</f>
        <v>1</v>
      </c>
      <c r="M433" s="19">
        <f>L433*IF(OR(Dashboard!$W$8="All",J433=Dashboard!$W$8),1,0)</f>
        <v>1</v>
      </c>
    </row>
    <row r="434" spans="1:13" x14ac:dyDescent="0.25">
      <c r="A434" s="23">
        <v>46071.8528703704</v>
      </c>
      <c r="B434" s="19" t="s">
        <v>34</v>
      </c>
      <c r="C434" s="19" t="s">
        <v>25</v>
      </c>
      <c r="D434" s="19" t="s">
        <v>69</v>
      </c>
      <c r="E434" s="19" t="s">
        <v>929</v>
      </c>
      <c r="F434" s="19" t="s">
        <v>930</v>
      </c>
      <c r="G434" s="19" t="s">
        <v>56</v>
      </c>
      <c r="H434" s="19">
        <v>17</v>
      </c>
      <c r="I434" s="19">
        <v>135</v>
      </c>
      <c r="J434" s="19" t="str">
        <f t="shared" si="6"/>
        <v>Feb</v>
      </c>
      <c r="K434" s="19" t="str">
        <f>IF(I434&lt;=Calc!$B$2,"Yes","No")</f>
        <v>No</v>
      </c>
      <c r="L434" s="19">
        <f>IF(AND(OR(Dashboard!$W$6="All",C434=Dashboard!$W$6),OR(Dashboard!$W$7="All",D434=Dashboard!$W$7)),1,0)</f>
        <v>1</v>
      </c>
      <c r="M434" s="19">
        <f>L434*IF(OR(Dashboard!$W$8="All",J434=Dashboard!$W$8),1,0)</f>
        <v>1</v>
      </c>
    </row>
    <row r="435" spans="1:13" x14ac:dyDescent="0.25">
      <c r="A435" s="23">
        <v>46072.073784722197</v>
      </c>
      <c r="B435" s="19" t="s">
        <v>32</v>
      </c>
      <c r="C435" s="19" t="s">
        <v>27</v>
      </c>
      <c r="D435" s="19" t="s">
        <v>69</v>
      </c>
      <c r="E435" s="19" t="s">
        <v>931</v>
      </c>
      <c r="F435" s="19" t="s">
        <v>932</v>
      </c>
      <c r="G435" s="19" t="s">
        <v>72</v>
      </c>
      <c r="H435" s="19">
        <v>38</v>
      </c>
      <c r="I435" s="19">
        <v>108</v>
      </c>
      <c r="J435" s="19" t="str">
        <f t="shared" si="6"/>
        <v>Feb</v>
      </c>
      <c r="K435" s="19" t="str">
        <f>IF(I435&lt;=Calc!$B$2,"Yes","No")</f>
        <v>No</v>
      </c>
      <c r="L435" s="19">
        <f>IF(AND(OR(Dashboard!$W$6="All",C435=Dashboard!$W$6),OR(Dashboard!$W$7="All",D435=Dashboard!$W$7)),1,0)</f>
        <v>1</v>
      </c>
      <c r="M435" s="19">
        <f>L435*IF(OR(Dashboard!$W$8="All",J435=Dashboard!$W$8),1,0)</f>
        <v>1</v>
      </c>
    </row>
    <row r="436" spans="1:13" x14ac:dyDescent="0.25">
      <c r="A436" s="23">
        <v>46072.256631944401</v>
      </c>
      <c r="B436" s="19" t="s">
        <v>35</v>
      </c>
      <c r="C436" s="19" t="s">
        <v>25</v>
      </c>
      <c r="D436" s="19" t="s">
        <v>73</v>
      </c>
      <c r="E436" s="19" t="s">
        <v>933</v>
      </c>
      <c r="F436" s="19" t="s">
        <v>934</v>
      </c>
      <c r="G436" s="19" t="s">
        <v>64</v>
      </c>
      <c r="H436" s="19">
        <v>41</v>
      </c>
      <c r="I436" s="19">
        <v>176</v>
      </c>
      <c r="J436" s="19" t="str">
        <f t="shared" si="6"/>
        <v>Feb</v>
      </c>
      <c r="K436" s="19" t="str">
        <f>IF(I436&lt;=Calc!$B$2,"Yes","No")</f>
        <v>No</v>
      </c>
      <c r="L436" s="19">
        <f>IF(AND(OR(Dashboard!$W$6="All",C436=Dashboard!$W$6),OR(Dashboard!$W$7="All",D436=Dashboard!$W$7)),1,0)</f>
        <v>1</v>
      </c>
      <c r="M436" s="19">
        <f>L436*IF(OR(Dashboard!$W$8="All",J436=Dashboard!$W$8),1,0)</f>
        <v>1</v>
      </c>
    </row>
    <row r="437" spans="1:13" x14ac:dyDescent="0.25">
      <c r="A437" s="23">
        <v>46072.289166666698</v>
      </c>
      <c r="B437" s="19" t="s">
        <v>30</v>
      </c>
      <c r="C437" s="19" t="s">
        <v>25</v>
      </c>
      <c r="D437" s="19" t="s">
        <v>65</v>
      </c>
      <c r="E437" s="19" t="s">
        <v>935</v>
      </c>
      <c r="F437" s="19" t="s">
        <v>936</v>
      </c>
      <c r="G437" s="19" t="s">
        <v>93</v>
      </c>
      <c r="H437" s="19">
        <v>35</v>
      </c>
      <c r="I437" s="19">
        <v>136</v>
      </c>
      <c r="J437" s="19" t="str">
        <f t="shared" si="6"/>
        <v>Feb</v>
      </c>
      <c r="K437" s="19" t="str">
        <f>IF(I437&lt;=Calc!$B$2,"Yes","No")</f>
        <v>No</v>
      </c>
      <c r="L437" s="19">
        <f>IF(AND(OR(Dashboard!$W$6="All",C437=Dashboard!$W$6),OR(Dashboard!$W$7="All",D437=Dashboard!$W$7)),1,0)</f>
        <v>1</v>
      </c>
      <c r="M437" s="19">
        <f>L437*IF(OR(Dashboard!$W$8="All",J437=Dashboard!$W$8),1,0)</f>
        <v>1</v>
      </c>
    </row>
    <row r="438" spans="1:13" x14ac:dyDescent="0.25">
      <c r="A438" s="23">
        <v>46072.626145833303</v>
      </c>
      <c r="B438" s="19" t="s">
        <v>32</v>
      </c>
      <c r="C438" s="19" t="s">
        <v>27</v>
      </c>
      <c r="D438" s="19" t="s">
        <v>73</v>
      </c>
      <c r="E438" s="19" t="s">
        <v>937</v>
      </c>
      <c r="F438" s="19" t="s">
        <v>938</v>
      </c>
      <c r="G438" s="19" t="s">
        <v>72</v>
      </c>
      <c r="H438" s="19">
        <v>1</v>
      </c>
      <c r="I438" s="19">
        <v>65</v>
      </c>
      <c r="J438" s="19" t="str">
        <f t="shared" si="6"/>
        <v>Feb</v>
      </c>
      <c r="K438" s="19" t="str">
        <f>IF(I438&lt;=Calc!$B$2,"Yes","No")</f>
        <v>No</v>
      </c>
      <c r="L438" s="19">
        <f>IF(AND(OR(Dashboard!$W$6="All",C438=Dashboard!$W$6),OR(Dashboard!$W$7="All",D438=Dashboard!$W$7)),1,0)</f>
        <v>1</v>
      </c>
      <c r="M438" s="19">
        <f>L438*IF(OR(Dashboard!$W$8="All",J438=Dashboard!$W$8),1,0)</f>
        <v>1</v>
      </c>
    </row>
    <row r="439" spans="1:13" x14ac:dyDescent="0.25">
      <c r="A439" s="23">
        <v>46073.230671296304</v>
      </c>
      <c r="B439" s="19" t="s">
        <v>35</v>
      </c>
      <c r="C439" s="19" t="s">
        <v>29</v>
      </c>
      <c r="D439" s="19" t="s">
        <v>73</v>
      </c>
      <c r="E439" s="19" t="s">
        <v>939</v>
      </c>
      <c r="F439" s="19" t="s">
        <v>940</v>
      </c>
      <c r="G439" s="19" t="s">
        <v>64</v>
      </c>
      <c r="H439" s="19">
        <v>23</v>
      </c>
      <c r="I439" s="19">
        <v>117</v>
      </c>
      <c r="J439" s="19" t="str">
        <f t="shared" si="6"/>
        <v>Feb</v>
      </c>
      <c r="K439" s="19" t="str">
        <f>IF(I439&lt;=Calc!$B$2,"Yes","No")</f>
        <v>No</v>
      </c>
      <c r="L439" s="19">
        <f>IF(AND(OR(Dashboard!$W$6="All",C439=Dashboard!$W$6),OR(Dashboard!$W$7="All",D439=Dashboard!$W$7)),1,0)</f>
        <v>1</v>
      </c>
      <c r="M439" s="19">
        <f>L439*IF(OR(Dashboard!$W$8="All",J439=Dashboard!$W$8),1,0)</f>
        <v>1</v>
      </c>
    </row>
    <row r="440" spans="1:13" x14ac:dyDescent="0.25">
      <c r="A440" s="23">
        <v>46073.2887037037</v>
      </c>
      <c r="B440" s="19" t="s">
        <v>35</v>
      </c>
      <c r="C440" s="19" t="s">
        <v>27</v>
      </c>
      <c r="D440" s="19" t="s">
        <v>53</v>
      </c>
      <c r="E440" s="19" t="s">
        <v>941</v>
      </c>
      <c r="F440" s="19" t="s">
        <v>942</v>
      </c>
      <c r="G440" s="19" t="s">
        <v>64</v>
      </c>
      <c r="H440" s="19">
        <v>26</v>
      </c>
      <c r="I440" s="19">
        <v>153</v>
      </c>
      <c r="J440" s="19" t="str">
        <f t="shared" si="6"/>
        <v>Feb</v>
      </c>
      <c r="K440" s="19" t="str">
        <f>IF(I440&lt;=Calc!$B$2,"Yes","No")</f>
        <v>No</v>
      </c>
      <c r="L440" s="19">
        <f>IF(AND(OR(Dashboard!$W$6="All",C440=Dashboard!$W$6),OR(Dashboard!$W$7="All",D440=Dashboard!$W$7)),1,0)</f>
        <v>1</v>
      </c>
      <c r="M440" s="19">
        <f>L440*IF(OR(Dashboard!$W$8="All",J440=Dashboard!$W$8),1,0)</f>
        <v>1</v>
      </c>
    </row>
    <row r="441" spans="1:13" x14ac:dyDescent="0.25">
      <c r="A441" s="23">
        <v>46073.514988425901</v>
      </c>
      <c r="B441" s="19" t="s">
        <v>30</v>
      </c>
      <c r="C441" s="19" t="s">
        <v>29</v>
      </c>
      <c r="D441" s="19" t="s">
        <v>65</v>
      </c>
      <c r="E441" s="19" t="s">
        <v>943</v>
      </c>
      <c r="F441" s="19" t="s">
        <v>944</v>
      </c>
      <c r="G441" s="19" t="s">
        <v>93</v>
      </c>
      <c r="H441" s="19">
        <v>27</v>
      </c>
      <c r="I441" s="19">
        <v>170</v>
      </c>
      <c r="J441" s="19" t="str">
        <f t="shared" si="6"/>
        <v>Feb</v>
      </c>
      <c r="K441" s="19" t="str">
        <f>IF(I441&lt;=Calc!$B$2,"Yes","No")</f>
        <v>No</v>
      </c>
      <c r="L441" s="19">
        <f>IF(AND(OR(Dashboard!$W$6="All",C441=Dashboard!$W$6),OR(Dashboard!$W$7="All",D441=Dashboard!$W$7)),1,0)</f>
        <v>1</v>
      </c>
      <c r="M441" s="19">
        <f>L441*IF(OR(Dashboard!$W$8="All",J441=Dashboard!$W$8),1,0)</f>
        <v>1</v>
      </c>
    </row>
    <row r="442" spans="1:13" x14ac:dyDescent="0.25">
      <c r="A442" s="23">
        <v>46073.627881944398</v>
      </c>
      <c r="B442" s="19" t="s">
        <v>35</v>
      </c>
      <c r="C442" s="19" t="s">
        <v>25</v>
      </c>
      <c r="D442" s="19" t="s">
        <v>53</v>
      </c>
      <c r="E442" s="19" t="s">
        <v>945</v>
      </c>
      <c r="F442" s="19" t="s">
        <v>946</v>
      </c>
      <c r="G442" s="19" t="s">
        <v>64</v>
      </c>
      <c r="H442" s="19">
        <v>32</v>
      </c>
      <c r="I442" s="19">
        <v>148</v>
      </c>
      <c r="J442" s="19" t="str">
        <f t="shared" si="6"/>
        <v>Feb</v>
      </c>
      <c r="K442" s="19" t="str">
        <f>IF(I442&lt;=Calc!$B$2,"Yes","No")</f>
        <v>No</v>
      </c>
      <c r="L442" s="19">
        <f>IF(AND(OR(Dashboard!$W$6="All",C442=Dashboard!$W$6),OR(Dashboard!$W$7="All",D442=Dashboard!$W$7)),1,0)</f>
        <v>1</v>
      </c>
      <c r="M442" s="19">
        <f>L442*IF(OR(Dashboard!$W$8="All",J442=Dashboard!$W$8),1,0)</f>
        <v>1</v>
      </c>
    </row>
    <row r="443" spans="1:13" x14ac:dyDescent="0.25">
      <c r="A443" s="23">
        <v>46073.735729166699</v>
      </c>
      <c r="B443" s="19" t="s">
        <v>32</v>
      </c>
      <c r="C443" s="19" t="s">
        <v>31</v>
      </c>
      <c r="D443" s="19" t="s">
        <v>65</v>
      </c>
      <c r="E443" s="19" t="s">
        <v>947</v>
      </c>
      <c r="F443" s="19" t="s">
        <v>948</v>
      </c>
      <c r="G443" s="19" t="s">
        <v>72</v>
      </c>
      <c r="H443" s="19">
        <v>18</v>
      </c>
      <c r="I443" s="19">
        <v>37</v>
      </c>
      <c r="J443" s="19" t="str">
        <f t="shared" si="6"/>
        <v>Feb</v>
      </c>
      <c r="K443" s="19" t="str">
        <f>IF(I443&lt;=Calc!$B$2,"Yes","No")</f>
        <v>Yes</v>
      </c>
      <c r="L443" s="19">
        <f>IF(AND(OR(Dashboard!$W$6="All",C443=Dashboard!$W$6),OR(Dashboard!$W$7="All",D443=Dashboard!$W$7)),1,0)</f>
        <v>1</v>
      </c>
      <c r="M443" s="19">
        <f>L443*IF(OR(Dashboard!$W$8="All",J443=Dashboard!$W$8),1,0)</f>
        <v>1</v>
      </c>
    </row>
    <row r="444" spans="1:13" x14ac:dyDescent="0.25">
      <c r="A444" s="23">
        <v>46073.954756944499</v>
      </c>
      <c r="B444" s="19" t="s">
        <v>32</v>
      </c>
      <c r="C444" s="19" t="s">
        <v>29</v>
      </c>
      <c r="D444" s="19" t="s">
        <v>73</v>
      </c>
      <c r="E444" s="19" t="s">
        <v>949</v>
      </c>
      <c r="F444" s="19" t="s">
        <v>950</v>
      </c>
      <c r="G444" s="19" t="s">
        <v>72</v>
      </c>
      <c r="H444" s="19">
        <v>29</v>
      </c>
      <c r="I444" s="19">
        <v>145</v>
      </c>
      <c r="J444" s="19" t="str">
        <f t="shared" si="6"/>
        <v>Feb</v>
      </c>
      <c r="K444" s="19" t="str">
        <f>IF(I444&lt;=Calc!$B$2,"Yes","No")</f>
        <v>No</v>
      </c>
      <c r="L444" s="19">
        <f>IF(AND(OR(Dashboard!$W$6="All",C444=Dashboard!$W$6),OR(Dashboard!$W$7="All",D444=Dashboard!$W$7)),1,0)</f>
        <v>1</v>
      </c>
      <c r="M444" s="19">
        <f>L444*IF(OR(Dashboard!$W$8="All",J444=Dashboard!$W$8),1,0)</f>
        <v>1</v>
      </c>
    </row>
    <row r="445" spans="1:13" x14ac:dyDescent="0.25">
      <c r="A445" s="23">
        <v>46074.113796296297</v>
      </c>
      <c r="B445" s="19" t="s">
        <v>30</v>
      </c>
      <c r="C445" s="19" t="s">
        <v>29</v>
      </c>
      <c r="D445" s="19" t="s">
        <v>65</v>
      </c>
      <c r="E445" s="19" t="s">
        <v>951</v>
      </c>
      <c r="F445" s="19" t="s">
        <v>952</v>
      </c>
      <c r="G445" s="19" t="s">
        <v>93</v>
      </c>
      <c r="H445" s="19">
        <v>22</v>
      </c>
      <c r="I445" s="19">
        <v>138</v>
      </c>
      <c r="J445" s="19" t="str">
        <f t="shared" si="6"/>
        <v>Feb</v>
      </c>
      <c r="K445" s="19" t="str">
        <f>IF(I445&lt;=Calc!$B$2,"Yes","No")</f>
        <v>No</v>
      </c>
      <c r="L445" s="19">
        <f>IF(AND(OR(Dashboard!$W$6="All",C445=Dashboard!$W$6),OR(Dashboard!$W$7="All",D445=Dashboard!$W$7)),1,0)</f>
        <v>1</v>
      </c>
      <c r="M445" s="19">
        <f>L445*IF(OR(Dashboard!$W$8="All",J445=Dashboard!$W$8),1,0)</f>
        <v>1</v>
      </c>
    </row>
    <row r="446" spans="1:13" x14ac:dyDescent="0.25">
      <c r="A446" s="23">
        <v>46074.371898148202</v>
      </c>
      <c r="B446" s="19" t="s">
        <v>36</v>
      </c>
      <c r="C446" s="19" t="s">
        <v>25</v>
      </c>
      <c r="D446" s="19" t="s">
        <v>69</v>
      </c>
      <c r="E446" s="19" t="s">
        <v>953</v>
      </c>
      <c r="F446" s="19" t="s">
        <v>954</v>
      </c>
      <c r="G446" s="19" t="s">
        <v>59</v>
      </c>
      <c r="H446" s="19">
        <v>5</v>
      </c>
      <c r="I446" s="19">
        <v>192</v>
      </c>
      <c r="J446" s="19" t="str">
        <f t="shared" si="6"/>
        <v>Feb</v>
      </c>
      <c r="K446" s="19" t="str">
        <f>IF(I446&lt;=Calc!$B$2,"Yes","No")</f>
        <v>No</v>
      </c>
      <c r="L446" s="19">
        <f>IF(AND(OR(Dashboard!$W$6="All",C446=Dashboard!$W$6),OR(Dashboard!$W$7="All",D446=Dashboard!$W$7)),1,0)</f>
        <v>1</v>
      </c>
      <c r="M446" s="19">
        <f>L446*IF(OR(Dashboard!$W$8="All",J446=Dashboard!$W$8),1,0)</f>
        <v>1</v>
      </c>
    </row>
    <row r="447" spans="1:13" x14ac:dyDescent="0.25">
      <c r="A447" s="23">
        <v>46074.5063310185</v>
      </c>
      <c r="B447" s="19" t="s">
        <v>26</v>
      </c>
      <c r="C447" s="19" t="s">
        <v>25</v>
      </c>
      <c r="D447" s="19" t="s">
        <v>73</v>
      </c>
      <c r="E447" s="19" t="s">
        <v>955</v>
      </c>
      <c r="F447" s="19" t="s">
        <v>956</v>
      </c>
      <c r="G447" s="19" t="s">
        <v>100</v>
      </c>
      <c r="H447" s="19">
        <v>33</v>
      </c>
      <c r="I447" s="19">
        <v>202</v>
      </c>
      <c r="J447" s="19" t="str">
        <f t="shared" si="6"/>
        <v>Feb</v>
      </c>
      <c r="K447" s="19" t="str">
        <f>IF(I447&lt;=Calc!$B$2,"Yes","No")</f>
        <v>No</v>
      </c>
      <c r="L447" s="19">
        <f>IF(AND(OR(Dashboard!$W$6="All",C447=Dashboard!$W$6),OR(Dashboard!$W$7="All",D447=Dashboard!$W$7)),1,0)</f>
        <v>1</v>
      </c>
      <c r="M447" s="19">
        <f>L447*IF(OR(Dashboard!$W$8="All",J447=Dashboard!$W$8),1,0)</f>
        <v>1</v>
      </c>
    </row>
    <row r="448" spans="1:13" x14ac:dyDescent="0.25">
      <c r="A448" s="23">
        <v>46074.7206365741</v>
      </c>
      <c r="B448" s="19" t="s">
        <v>35</v>
      </c>
      <c r="C448" s="19" t="s">
        <v>29</v>
      </c>
      <c r="D448" s="19" t="s">
        <v>69</v>
      </c>
      <c r="E448" s="19" t="s">
        <v>957</v>
      </c>
      <c r="F448" s="19" t="s">
        <v>958</v>
      </c>
      <c r="G448" s="19" t="s">
        <v>64</v>
      </c>
      <c r="H448" s="19">
        <v>41</v>
      </c>
      <c r="I448" s="19">
        <v>85</v>
      </c>
      <c r="J448" s="19" t="str">
        <f t="shared" si="6"/>
        <v>Feb</v>
      </c>
      <c r="K448" s="19" t="str">
        <f>IF(I448&lt;=Calc!$B$2,"Yes","No")</f>
        <v>No</v>
      </c>
      <c r="L448" s="19">
        <f>IF(AND(OR(Dashboard!$W$6="All",C448=Dashboard!$W$6),OR(Dashboard!$W$7="All",D448=Dashboard!$W$7)),1,0)</f>
        <v>1</v>
      </c>
      <c r="M448" s="19">
        <f>L448*IF(OR(Dashboard!$W$8="All",J448=Dashboard!$W$8),1,0)</f>
        <v>1</v>
      </c>
    </row>
    <row r="449" spans="1:13" x14ac:dyDescent="0.25">
      <c r="A449" s="23">
        <v>46075.0613773148</v>
      </c>
      <c r="B449" s="19" t="s">
        <v>35</v>
      </c>
      <c r="C449" s="19" t="s">
        <v>31</v>
      </c>
      <c r="D449" s="19" t="s">
        <v>73</v>
      </c>
      <c r="E449" s="19" t="s">
        <v>959</v>
      </c>
      <c r="F449" s="19" t="s">
        <v>960</v>
      </c>
      <c r="G449" s="19" t="s">
        <v>64</v>
      </c>
      <c r="H449" s="19">
        <v>7</v>
      </c>
      <c r="I449" s="19">
        <v>95</v>
      </c>
      <c r="J449" s="19" t="str">
        <f t="shared" si="6"/>
        <v>Feb</v>
      </c>
      <c r="K449" s="19" t="str">
        <f>IF(I449&lt;=Calc!$B$2,"Yes","No")</f>
        <v>No</v>
      </c>
      <c r="L449" s="19">
        <f>IF(AND(OR(Dashboard!$W$6="All",C449=Dashboard!$W$6),OR(Dashboard!$W$7="All",D449=Dashboard!$W$7)),1,0)</f>
        <v>1</v>
      </c>
      <c r="M449" s="19">
        <f>L449*IF(OR(Dashboard!$W$8="All",J449=Dashboard!$W$8),1,0)</f>
        <v>1</v>
      </c>
    </row>
    <row r="450" spans="1:13" x14ac:dyDescent="0.25">
      <c r="A450" s="23">
        <v>46075.483402777798</v>
      </c>
      <c r="B450" s="19" t="s">
        <v>35</v>
      </c>
      <c r="C450" s="19" t="s">
        <v>25</v>
      </c>
      <c r="D450" s="19" t="s">
        <v>53</v>
      </c>
      <c r="E450" s="19" t="s">
        <v>961</v>
      </c>
      <c r="F450" s="19" t="s">
        <v>962</v>
      </c>
      <c r="G450" s="19" t="s">
        <v>64</v>
      </c>
      <c r="H450" s="19">
        <v>12</v>
      </c>
      <c r="I450" s="19">
        <v>108</v>
      </c>
      <c r="J450" s="19" t="str">
        <f t="shared" ref="J450:J501" si="7">CHOOSE(MONTH(A450),"Jan","Feb","Mar","Apr","May","Jun","Jul","Aug","Sep","Oct","Nov","Dec")</f>
        <v>Feb</v>
      </c>
      <c r="K450" s="19" t="str">
        <f>IF(I450&lt;=Calc!$B$2,"Yes","No")</f>
        <v>No</v>
      </c>
      <c r="L450" s="19">
        <f>IF(AND(OR(Dashboard!$W$6="All",C450=Dashboard!$W$6),OR(Dashboard!$W$7="All",D450=Dashboard!$W$7)),1,0)</f>
        <v>1</v>
      </c>
      <c r="M450" s="19">
        <f>L450*IF(OR(Dashboard!$W$8="All",J450=Dashboard!$W$8),1,0)</f>
        <v>1</v>
      </c>
    </row>
    <row r="451" spans="1:13" x14ac:dyDescent="0.25">
      <c r="A451" s="23">
        <v>46075.5417592593</v>
      </c>
      <c r="B451" s="19" t="s">
        <v>28</v>
      </c>
      <c r="C451" s="19" t="s">
        <v>25</v>
      </c>
      <c r="D451" s="19" t="s">
        <v>65</v>
      </c>
      <c r="E451" s="19" t="s">
        <v>963</v>
      </c>
      <c r="F451" s="19" t="s">
        <v>964</v>
      </c>
      <c r="G451" s="19" t="s">
        <v>90</v>
      </c>
      <c r="H451" s="19">
        <v>16</v>
      </c>
      <c r="I451" s="19">
        <v>157</v>
      </c>
      <c r="J451" s="19" t="str">
        <f t="shared" si="7"/>
        <v>Feb</v>
      </c>
      <c r="K451" s="19" t="str">
        <f>IF(I451&lt;=Calc!$B$2,"Yes","No")</f>
        <v>No</v>
      </c>
      <c r="L451" s="19">
        <f>IF(AND(OR(Dashboard!$W$6="All",C451=Dashboard!$W$6),OR(Dashboard!$W$7="All",D451=Dashboard!$W$7)),1,0)</f>
        <v>1</v>
      </c>
      <c r="M451" s="19">
        <f>L451*IF(OR(Dashboard!$W$8="All",J451=Dashboard!$W$8),1,0)</f>
        <v>1</v>
      </c>
    </row>
    <row r="452" spans="1:13" x14ac:dyDescent="0.25">
      <c r="A452" s="23">
        <v>46075.542592592603</v>
      </c>
      <c r="B452" s="19" t="s">
        <v>33</v>
      </c>
      <c r="C452" s="19" t="s">
        <v>29</v>
      </c>
      <c r="D452" s="19" t="s">
        <v>65</v>
      </c>
      <c r="E452" s="19" t="s">
        <v>965</v>
      </c>
      <c r="F452" s="19" t="s">
        <v>966</v>
      </c>
      <c r="G452" s="19" t="s">
        <v>68</v>
      </c>
      <c r="H452" s="19">
        <v>26</v>
      </c>
      <c r="I452" s="19">
        <v>122</v>
      </c>
      <c r="J452" s="19" t="str">
        <f t="shared" si="7"/>
        <v>Feb</v>
      </c>
      <c r="K452" s="19" t="str">
        <f>IF(I452&lt;=Calc!$B$2,"Yes","No")</f>
        <v>No</v>
      </c>
      <c r="L452" s="19">
        <f>IF(AND(OR(Dashboard!$W$6="All",C452=Dashboard!$W$6),OR(Dashboard!$W$7="All",D452=Dashboard!$W$7)),1,0)</f>
        <v>1</v>
      </c>
      <c r="M452" s="19">
        <f>L452*IF(OR(Dashboard!$W$8="All",J452=Dashboard!$W$8),1,0)</f>
        <v>1</v>
      </c>
    </row>
    <row r="453" spans="1:13" x14ac:dyDescent="0.25">
      <c r="A453" s="23">
        <v>46075.569479166697</v>
      </c>
      <c r="B453" s="19" t="s">
        <v>34</v>
      </c>
      <c r="C453" s="19" t="s">
        <v>29</v>
      </c>
      <c r="D453" s="19" t="s">
        <v>65</v>
      </c>
      <c r="E453" s="19" t="s">
        <v>967</v>
      </c>
      <c r="F453" s="19" t="s">
        <v>968</v>
      </c>
      <c r="G453" s="19" t="s">
        <v>56</v>
      </c>
      <c r="H453" s="19">
        <v>37</v>
      </c>
      <c r="I453" s="19">
        <v>171</v>
      </c>
      <c r="J453" s="19" t="str">
        <f t="shared" si="7"/>
        <v>Feb</v>
      </c>
      <c r="K453" s="19" t="str">
        <f>IF(I453&lt;=Calc!$B$2,"Yes","No")</f>
        <v>No</v>
      </c>
      <c r="L453" s="19">
        <f>IF(AND(OR(Dashboard!$W$6="All",C453=Dashboard!$W$6),OR(Dashboard!$W$7="All",D453=Dashboard!$W$7)),1,0)</f>
        <v>1</v>
      </c>
      <c r="M453" s="19">
        <f>L453*IF(OR(Dashboard!$W$8="All",J453=Dashboard!$W$8),1,0)</f>
        <v>1</v>
      </c>
    </row>
    <row r="454" spans="1:13" x14ac:dyDescent="0.25">
      <c r="A454" s="23">
        <v>46075.571898148199</v>
      </c>
      <c r="B454" s="19" t="s">
        <v>35</v>
      </c>
      <c r="C454" s="19" t="s">
        <v>31</v>
      </c>
      <c r="D454" s="19" t="s">
        <v>69</v>
      </c>
      <c r="E454" s="19" t="s">
        <v>969</v>
      </c>
      <c r="F454" s="19" t="s">
        <v>970</v>
      </c>
      <c r="G454" s="19" t="s">
        <v>64</v>
      </c>
      <c r="H454" s="19">
        <v>2</v>
      </c>
      <c r="I454" s="19">
        <v>28</v>
      </c>
      <c r="J454" s="19" t="str">
        <f t="shared" si="7"/>
        <v>Feb</v>
      </c>
      <c r="K454" s="19" t="str">
        <f>IF(I454&lt;=Calc!$B$2,"Yes","No")</f>
        <v>Yes</v>
      </c>
      <c r="L454" s="19">
        <f>IF(AND(OR(Dashboard!$W$6="All",C454=Dashboard!$W$6),OR(Dashboard!$W$7="All",D454=Dashboard!$W$7)),1,0)</f>
        <v>1</v>
      </c>
      <c r="M454" s="19">
        <f>L454*IF(OR(Dashboard!$W$8="All",J454=Dashboard!$W$8),1,0)</f>
        <v>1</v>
      </c>
    </row>
    <row r="455" spans="1:13" x14ac:dyDescent="0.25">
      <c r="A455" s="23">
        <v>46075.723043981503</v>
      </c>
      <c r="B455" s="19" t="s">
        <v>34</v>
      </c>
      <c r="C455" s="19" t="s">
        <v>25</v>
      </c>
      <c r="D455" s="19" t="s">
        <v>73</v>
      </c>
      <c r="E455" s="19" t="s">
        <v>971</v>
      </c>
      <c r="F455" s="19" t="s">
        <v>972</v>
      </c>
      <c r="G455" s="19" t="s">
        <v>56</v>
      </c>
      <c r="H455" s="19">
        <v>1</v>
      </c>
      <c r="I455" s="19">
        <v>112</v>
      </c>
      <c r="J455" s="19" t="str">
        <f t="shared" si="7"/>
        <v>Feb</v>
      </c>
      <c r="K455" s="19" t="str">
        <f>IF(I455&lt;=Calc!$B$2,"Yes","No")</f>
        <v>No</v>
      </c>
      <c r="L455" s="19">
        <f>IF(AND(OR(Dashboard!$W$6="All",C455=Dashboard!$W$6),OR(Dashboard!$W$7="All",D455=Dashboard!$W$7)),1,0)</f>
        <v>1</v>
      </c>
      <c r="M455" s="19">
        <f>L455*IF(OR(Dashboard!$W$8="All",J455=Dashboard!$W$8),1,0)</f>
        <v>1</v>
      </c>
    </row>
    <row r="456" spans="1:13" x14ac:dyDescent="0.25">
      <c r="A456" s="23">
        <v>46075.727847222202</v>
      </c>
      <c r="B456" s="19" t="s">
        <v>28</v>
      </c>
      <c r="C456" s="19" t="s">
        <v>31</v>
      </c>
      <c r="D456" s="19" t="s">
        <v>65</v>
      </c>
      <c r="E456" s="19" t="s">
        <v>973</v>
      </c>
      <c r="F456" s="19" t="s">
        <v>974</v>
      </c>
      <c r="G456" s="19" t="s">
        <v>90</v>
      </c>
      <c r="H456" s="19">
        <v>16</v>
      </c>
      <c r="I456" s="19">
        <v>58</v>
      </c>
      <c r="J456" s="19" t="str">
        <f t="shared" si="7"/>
        <v>Feb</v>
      </c>
      <c r="K456" s="19" t="str">
        <f>IF(I456&lt;=Calc!$B$2,"Yes","No")</f>
        <v>Yes</v>
      </c>
      <c r="L456" s="19">
        <f>IF(AND(OR(Dashboard!$W$6="All",C456=Dashboard!$W$6),OR(Dashboard!$W$7="All",D456=Dashboard!$W$7)),1,0)</f>
        <v>1</v>
      </c>
      <c r="M456" s="19">
        <f>L456*IF(OR(Dashboard!$W$8="All",J456=Dashboard!$W$8),1,0)</f>
        <v>1</v>
      </c>
    </row>
    <row r="457" spans="1:13" x14ac:dyDescent="0.25">
      <c r="A457" s="23">
        <v>46075.984583333302</v>
      </c>
      <c r="B457" s="19" t="s">
        <v>32</v>
      </c>
      <c r="C457" s="19" t="s">
        <v>29</v>
      </c>
      <c r="D457" s="19" t="s">
        <v>53</v>
      </c>
      <c r="E457" s="19" t="s">
        <v>975</v>
      </c>
      <c r="F457" s="19" t="s">
        <v>976</v>
      </c>
      <c r="G457" s="19" t="s">
        <v>72</v>
      </c>
      <c r="H457" s="19">
        <v>36</v>
      </c>
      <c r="I457" s="19">
        <v>178</v>
      </c>
      <c r="J457" s="19" t="str">
        <f t="shared" si="7"/>
        <v>Feb</v>
      </c>
      <c r="K457" s="19" t="str">
        <f>IF(I457&lt;=Calc!$B$2,"Yes","No")</f>
        <v>No</v>
      </c>
      <c r="L457" s="19">
        <f>IF(AND(OR(Dashboard!$W$6="All",C457=Dashboard!$W$6),OR(Dashboard!$W$7="All",D457=Dashboard!$W$7)),1,0)</f>
        <v>1</v>
      </c>
      <c r="M457" s="19">
        <f>L457*IF(OR(Dashboard!$W$8="All",J457=Dashboard!$W$8),1,0)</f>
        <v>1</v>
      </c>
    </row>
    <row r="458" spans="1:13" x14ac:dyDescent="0.25">
      <c r="A458" s="23">
        <v>46076.065636574102</v>
      </c>
      <c r="B458" s="19" t="s">
        <v>28</v>
      </c>
      <c r="C458" s="19" t="s">
        <v>25</v>
      </c>
      <c r="D458" s="19" t="s">
        <v>69</v>
      </c>
      <c r="E458" s="19" t="s">
        <v>977</v>
      </c>
      <c r="F458" s="19" t="s">
        <v>978</v>
      </c>
      <c r="G458" s="19" t="s">
        <v>90</v>
      </c>
      <c r="H458" s="19">
        <v>47</v>
      </c>
      <c r="I458" s="19">
        <v>166</v>
      </c>
      <c r="J458" s="19" t="str">
        <f t="shared" si="7"/>
        <v>Feb</v>
      </c>
      <c r="K458" s="19" t="str">
        <f>IF(I458&lt;=Calc!$B$2,"Yes","No")</f>
        <v>No</v>
      </c>
      <c r="L458" s="19">
        <f>IF(AND(OR(Dashboard!$W$6="All",C458=Dashboard!$W$6),OR(Dashboard!$W$7="All",D458=Dashboard!$W$7)),1,0)</f>
        <v>1</v>
      </c>
      <c r="M458" s="19">
        <f>L458*IF(OR(Dashboard!$W$8="All",J458=Dashboard!$W$8),1,0)</f>
        <v>1</v>
      </c>
    </row>
    <row r="459" spans="1:13" x14ac:dyDescent="0.25">
      <c r="A459" s="23">
        <v>46076.399421296301</v>
      </c>
      <c r="B459" s="19" t="s">
        <v>35</v>
      </c>
      <c r="C459" s="19" t="s">
        <v>27</v>
      </c>
      <c r="D459" s="19" t="s">
        <v>73</v>
      </c>
      <c r="E459" s="19" t="s">
        <v>979</v>
      </c>
      <c r="F459" s="19" t="s">
        <v>980</v>
      </c>
      <c r="G459" s="19" t="s">
        <v>64</v>
      </c>
      <c r="H459" s="19">
        <v>7</v>
      </c>
      <c r="I459" s="19">
        <v>25</v>
      </c>
      <c r="J459" s="19" t="str">
        <f t="shared" si="7"/>
        <v>Feb</v>
      </c>
      <c r="K459" s="19" t="str">
        <f>IF(I459&lt;=Calc!$B$2,"Yes","No")</f>
        <v>Yes</v>
      </c>
      <c r="L459" s="19">
        <f>IF(AND(OR(Dashboard!$W$6="All",C459=Dashboard!$W$6),OR(Dashboard!$W$7="All",D459=Dashboard!$W$7)),1,0)</f>
        <v>1</v>
      </c>
      <c r="M459" s="19">
        <f>L459*IF(OR(Dashboard!$W$8="All",J459=Dashboard!$W$8),1,0)</f>
        <v>1</v>
      </c>
    </row>
    <row r="460" spans="1:13" x14ac:dyDescent="0.25">
      <c r="A460" s="23">
        <v>46076.481388888897</v>
      </c>
      <c r="B460" s="19" t="s">
        <v>26</v>
      </c>
      <c r="C460" s="19" t="s">
        <v>31</v>
      </c>
      <c r="D460" s="19" t="s">
        <v>73</v>
      </c>
      <c r="E460" s="19" t="s">
        <v>981</v>
      </c>
      <c r="F460" s="19" t="s">
        <v>982</v>
      </c>
      <c r="G460" s="19" t="s">
        <v>100</v>
      </c>
      <c r="H460" s="19">
        <v>19</v>
      </c>
      <c r="I460" s="19">
        <v>60</v>
      </c>
      <c r="J460" s="19" t="str">
        <f t="shared" si="7"/>
        <v>Feb</v>
      </c>
      <c r="K460" s="19" t="str">
        <f>IF(I460&lt;=Calc!$B$2,"Yes","No")</f>
        <v>Yes</v>
      </c>
      <c r="L460" s="19">
        <f>IF(AND(OR(Dashboard!$W$6="All",C460=Dashboard!$W$6),OR(Dashboard!$W$7="All",D460=Dashboard!$W$7)),1,0)</f>
        <v>1</v>
      </c>
      <c r="M460" s="19">
        <f>L460*IF(OR(Dashboard!$W$8="All",J460=Dashboard!$W$8),1,0)</f>
        <v>1</v>
      </c>
    </row>
    <row r="461" spans="1:13" x14ac:dyDescent="0.25">
      <c r="A461" s="23">
        <v>46077.074456018498</v>
      </c>
      <c r="B461" s="19" t="s">
        <v>30</v>
      </c>
      <c r="C461" s="19" t="s">
        <v>25</v>
      </c>
      <c r="D461" s="19" t="s">
        <v>53</v>
      </c>
      <c r="E461" s="19" t="s">
        <v>983</v>
      </c>
      <c r="F461" s="19" t="s">
        <v>984</v>
      </c>
      <c r="G461" s="19" t="s">
        <v>93</v>
      </c>
      <c r="H461" s="19">
        <v>35</v>
      </c>
      <c r="I461" s="19">
        <v>180</v>
      </c>
      <c r="J461" s="19" t="str">
        <f t="shared" si="7"/>
        <v>Feb</v>
      </c>
      <c r="K461" s="19" t="str">
        <f>IF(I461&lt;=Calc!$B$2,"Yes","No")</f>
        <v>No</v>
      </c>
      <c r="L461" s="19">
        <f>IF(AND(OR(Dashboard!$W$6="All",C461=Dashboard!$W$6),OR(Dashboard!$W$7="All",D461=Dashboard!$W$7)),1,0)</f>
        <v>1</v>
      </c>
      <c r="M461" s="19">
        <f>L461*IF(OR(Dashboard!$W$8="All",J461=Dashboard!$W$8),1,0)</f>
        <v>1</v>
      </c>
    </row>
    <row r="462" spans="1:13" x14ac:dyDescent="0.25">
      <c r="A462" s="23">
        <v>46077.183506944399</v>
      </c>
      <c r="B462" s="19" t="s">
        <v>30</v>
      </c>
      <c r="C462" s="19" t="s">
        <v>29</v>
      </c>
      <c r="D462" s="19" t="s">
        <v>73</v>
      </c>
      <c r="E462" s="19" t="s">
        <v>985</v>
      </c>
      <c r="F462" s="19" t="s">
        <v>986</v>
      </c>
      <c r="G462" s="19" t="s">
        <v>93</v>
      </c>
      <c r="H462" s="19">
        <v>36</v>
      </c>
      <c r="I462" s="19">
        <v>167</v>
      </c>
      <c r="J462" s="19" t="str">
        <f t="shared" si="7"/>
        <v>Feb</v>
      </c>
      <c r="K462" s="19" t="str">
        <f>IF(I462&lt;=Calc!$B$2,"Yes","No")</f>
        <v>No</v>
      </c>
      <c r="L462" s="19">
        <f>IF(AND(OR(Dashboard!$W$6="All",C462=Dashboard!$W$6),OR(Dashboard!$W$7="All",D462=Dashboard!$W$7)),1,0)</f>
        <v>1</v>
      </c>
      <c r="M462" s="19">
        <f>L462*IF(OR(Dashboard!$W$8="All",J462=Dashboard!$W$8),1,0)</f>
        <v>1</v>
      </c>
    </row>
    <row r="463" spans="1:13" x14ac:dyDescent="0.25">
      <c r="A463" s="23">
        <v>46077.2175347222</v>
      </c>
      <c r="B463" s="19" t="s">
        <v>36</v>
      </c>
      <c r="C463" s="19" t="s">
        <v>29</v>
      </c>
      <c r="D463" s="19" t="s">
        <v>53</v>
      </c>
      <c r="E463" s="19" t="s">
        <v>987</v>
      </c>
      <c r="F463" s="19" t="s">
        <v>988</v>
      </c>
      <c r="G463" s="19" t="s">
        <v>59</v>
      </c>
      <c r="H463" s="19">
        <v>8</v>
      </c>
      <c r="I463" s="19">
        <v>96</v>
      </c>
      <c r="J463" s="19" t="str">
        <f t="shared" si="7"/>
        <v>Feb</v>
      </c>
      <c r="K463" s="19" t="str">
        <f>IF(I463&lt;=Calc!$B$2,"Yes","No")</f>
        <v>No</v>
      </c>
      <c r="L463" s="19">
        <f>IF(AND(OR(Dashboard!$W$6="All",C463=Dashboard!$W$6),OR(Dashboard!$W$7="All",D463=Dashboard!$W$7)),1,0)</f>
        <v>1</v>
      </c>
      <c r="M463" s="19">
        <f>L463*IF(OR(Dashboard!$W$8="All",J463=Dashboard!$W$8),1,0)</f>
        <v>1</v>
      </c>
    </row>
    <row r="464" spans="1:13" x14ac:dyDescent="0.25">
      <c r="A464" s="23">
        <v>46077.491481481498</v>
      </c>
      <c r="B464" s="19" t="s">
        <v>34</v>
      </c>
      <c r="C464" s="19" t="s">
        <v>29</v>
      </c>
      <c r="D464" s="19" t="s">
        <v>53</v>
      </c>
      <c r="E464" s="19" t="s">
        <v>989</v>
      </c>
      <c r="F464" s="19" t="s">
        <v>990</v>
      </c>
      <c r="G464" s="19" t="s">
        <v>56</v>
      </c>
      <c r="H464" s="19">
        <v>31</v>
      </c>
      <c r="I464" s="19">
        <v>191</v>
      </c>
      <c r="J464" s="19" t="str">
        <f t="shared" si="7"/>
        <v>Feb</v>
      </c>
      <c r="K464" s="19" t="str">
        <f>IF(I464&lt;=Calc!$B$2,"Yes","No")</f>
        <v>No</v>
      </c>
      <c r="L464" s="19">
        <f>IF(AND(OR(Dashboard!$W$6="All",C464=Dashboard!$W$6),OR(Dashboard!$W$7="All",D464=Dashboard!$W$7)),1,0)</f>
        <v>1</v>
      </c>
      <c r="M464" s="19">
        <f>L464*IF(OR(Dashboard!$W$8="All",J464=Dashboard!$W$8),1,0)</f>
        <v>1</v>
      </c>
    </row>
    <row r="465" spans="1:13" x14ac:dyDescent="0.25">
      <c r="A465" s="23">
        <v>46077.503437500003</v>
      </c>
      <c r="B465" s="19" t="s">
        <v>36</v>
      </c>
      <c r="C465" s="19" t="s">
        <v>27</v>
      </c>
      <c r="D465" s="19" t="s">
        <v>69</v>
      </c>
      <c r="E465" s="19" t="s">
        <v>991</v>
      </c>
      <c r="F465" s="19" t="s">
        <v>992</v>
      </c>
      <c r="G465" s="19" t="s">
        <v>59</v>
      </c>
      <c r="H465" s="19">
        <v>18</v>
      </c>
      <c r="I465" s="19">
        <v>90</v>
      </c>
      <c r="J465" s="19" t="str">
        <f t="shared" si="7"/>
        <v>Feb</v>
      </c>
      <c r="K465" s="19" t="str">
        <f>IF(I465&lt;=Calc!$B$2,"Yes","No")</f>
        <v>No</v>
      </c>
      <c r="L465" s="19">
        <f>IF(AND(OR(Dashboard!$W$6="All",C465=Dashboard!$W$6),OR(Dashboard!$W$7="All",D465=Dashboard!$W$7)),1,0)</f>
        <v>1</v>
      </c>
      <c r="M465" s="19">
        <f>L465*IF(OR(Dashboard!$W$8="All",J465=Dashboard!$W$8),1,0)</f>
        <v>1</v>
      </c>
    </row>
    <row r="466" spans="1:13" x14ac:dyDescent="0.25">
      <c r="A466" s="23">
        <v>46077.578229166698</v>
      </c>
      <c r="B466" s="19" t="s">
        <v>30</v>
      </c>
      <c r="C466" s="19" t="s">
        <v>31</v>
      </c>
      <c r="D466" s="19" t="s">
        <v>73</v>
      </c>
      <c r="E466" s="19" t="s">
        <v>993</v>
      </c>
      <c r="F466" s="19" t="s">
        <v>994</v>
      </c>
      <c r="G466" s="19" t="s">
        <v>93</v>
      </c>
      <c r="H466" s="19">
        <v>16</v>
      </c>
      <c r="I466" s="19">
        <v>51</v>
      </c>
      <c r="J466" s="19" t="str">
        <f t="shared" si="7"/>
        <v>Feb</v>
      </c>
      <c r="K466" s="19" t="str">
        <f>IF(I466&lt;=Calc!$B$2,"Yes","No")</f>
        <v>Yes</v>
      </c>
      <c r="L466" s="19">
        <f>IF(AND(OR(Dashboard!$W$6="All",C466=Dashboard!$W$6),OR(Dashboard!$W$7="All",D466=Dashboard!$W$7)),1,0)</f>
        <v>1</v>
      </c>
      <c r="M466" s="19">
        <f>L466*IF(OR(Dashboard!$W$8="All",J466=Dashboard!$W$8),1,0)</f>
        <v>1</v>
      </c>
    </row>
    <row r="467" spans="1:13" x14ac:dyDescent="0.25">
      <c r="A467" s="23">
        <v>46077.661249999997</v>
      </c>
      <c r="B467" s="19" t="s">
        <v>32</v>
      </c>
      <c r="C467" s="19" t="s">
        <v>25</v>
      </c>
      <c r="D467" s="19" t="s">
        <v>65</v>
      </c>
      <c r="E467" s="19" t="s">
        <v>995</v>
      </c>
      <c r="F467" s="19" t="s">
        <v>996</v>
      </c>
      <c r="G467" s="19" t="s">
        <v>72</v>
      </c>
      <c r="H467" s="19">
        <v>43</v>
      </c>
      <c r="I467" s="19">
        <v>165</v>
      </c>
      <c r="J467" s="19" t="str">
        <f t="shared" si="7"/>
        <v>Feb</v>
      </c>
      <c r="K467" s="19" t="str">
        <f>IF(I467&lt;=Calc!$B$2,"Yes","No")</f>
        <v>No</v>
      </c>
      <c r="L467" s="19">
        <f>IF(AND(OR(Dashboard!$W$6="All",C467=Dashboard!$W$6),OR(Dashboard!$W$7="All",D467=Dashboard!$W$7)),1,0)</f>
        <v>1</v>
      </c>
      <c r="M467" s="19">
        <f>L467*IF(OR(Dashboard!$W$8="All",J467=Dashboard!$W$8),1,0)</f>
        <v>1</v>
      </c>
    </row>
    <row r="468" spans="1:13" x14ac:dyDescent="0.25">
      <c r="A468" s="23">
        <v>46077.678240740701</v>
      </c>
      <c r="B468" s="19" t="s">
        <v>33</v>
      </c>
      <c r="C468" s="19" t="s">
        <v>27</v>
      </c>
      <c r="D468" s="19" t="s">
        <v>73</v>
      </c>
      <c r="E468" s="19" t="s">
        <v>997</v>
      </c>
      <c r="F468" s="19" t="s">
        <v>998</v>
      </c>
      <c r="G468" s="19" t="s">
        <v>68</v>
      </c>
      <c r="H468" s="19">
        <v>6</v>
      </c>
      <c r="I468" s="19">
        <v>11</v>
      </c>
      <c r="J468" s="19" t="str">
        <f t="shared" si="7"/>
        <v>Feb</v>
      </c>
      <c r="K468" s="19" t="str">
        <f>IF(I468&lt;=Calc!$B$2,"Yes","No")</f>
        <v>Yes</v>
      </c>
      <c r="L468" s="19">
        <f>IF(AND(OR(Dashboard!$W$6="All",C468=Dashboard!$W$6),OR(Dashboard!$W$7="All",D468=Dashboard!$W$7)),1,0)</f>
        <v>1</v>
      </c>
      <c r="M468" s="19">
        <f>L468*IF(OR(Dashboard!$W$8="All",J468=Dashboard!$W$8),1,0)</f>
        <v>1</v>
      </c>
    </row>
    <row r="469" spans="1:13" x14ac:dyDescent="0.25">
      <c r="A469" s="23">
        <v>46077.683263888903</v>
      </c>
      <c r="B469" s="19" t="s">
        <v>35</v>
      </c>
      <c r="C469" s="19" t="s">
        <v>27</v>
      </c>
      <c r="D469" s="19" t="s">
        <v>73</v>
      </c>
      <c r="E469" s="19" t="s">
        <v>999</v>
      </c>
      <c r="F469" s="19" t="s">
        <v>1000</v>
      </c>
      <c r="G469" s="19" t="s">
        <v>64</v>
      </c>
      <c r="H469" s="19">
        <v>21</v>
      </c>
      <c r="I469" s="19">
        <v>116</v>
      </c>
      <c r="J469" s="19" t="str">
        <f t="shared" si="7"/>
        <v>Feb</v>
      </c>
      <c r="K469" s="19" t="str">
        <f>IF(I469&lt;=Calc!$B$2,"Yes","No")</f>
        <v>No</v>
      </c>
      <c r="L469" s="19">
        <f>IF(AND(OR(Dashboard!$W$6="All",C469=Dashboard!$W$6),OR(Dashboard!$W$7="All",D469=Dashboard!$W$7)),1,0)</f>
        <v>1</v>
      </c>
      <c r="M469" s="19">
        <f>L469*IF(OR(Dashboard!$W$8="All",J469=Dashboard!$W$8),1,0)</f>
        <v>1</v>
      </c>
    </row>
    <row r="470" spans="1:13" x14ac:dyDescent="0.25">
      <c r="A470" s="23">
        <v>46077.966944444401</v>
      </c>
      <c r="B470" s="19" t="s">
        <v>33</v>
      </c>
      <c r="C470" s="19" t="s">
        <v>25</v>
      </c>
      <c r="D470" s="19" t="s">
        <v>73</v>
      </c>
      <c r="E470" s="19" t="s">
        <v>1001</v>
      </c>
      <c r="F470" s="19" t="s">
        <v>1002</v>
      </c>
      <c r="G470" s="19" t="s">
        <v>68</v>
      </c>
      <c r="H470" s="19">
        <v>23</v>
      </c>
      <c r="I470" s="19">
        <v>176</v>
      </c>
      <c r="J470" s="19" t="str">
        <f t="shared" si="7"/>
        <v>Feb</v>
      </c>
      <c r="K470" s="19" t="str">
        <f>IF(I470&lt;=Calc!$B$2,"Yes","No")</f>
        <v>No</v>
      </c>
      <c r="L470" s="19">
        <f>IF(AND(OR(Dashboard!$W$6="All",C470=Dashboard!$W$6),OR(Dashboard!$W$7="All",D470=Dashboard!$W$7)),1,0)</f>
        <v>1</v>
      </c>
      <c r="M470" s="19">
        <f>L470*IF(OR(Dashboard!$W$8="All",J470=Dashboard!$W$8),1,0)</f>
        <v>1</v>
      </c>
    </row>
    <row r="471" spans="1:13" x14ac:dyDescent="0.25">
      <c r="A471" s="23">
        <v>46078.021273148202</v>
      </c>
      <c r="B471" s="19" t="s">
        <v>32</v>
      </c>
      <c r="C471" s="19" t="s">
        <v>27</v>
      </c>
      <c r="D471" s="19" t="s">
        <v>73</v>
      </c>
      <c r="E471" s="19" t="s">
        <v>1003</v>
      </c>
      <c r="F471" s="19" t="s">
        <v>1004</v>
      </c>
      <c r="G471" s="19" t="s">
        <v>72</v>
      </c>
      <c r="H471" s="19">
        <v>3</v>
      </c>
      <c r="I471" s="19">
        <v>53</v>
      </c>
      <c r="J471" s="19" t="str">
        <f t="shared" si="7"/>
        <v>Feb</v>
      </c>
      <c r="K471" s="19" t="str">
        <f>IF(I471&lt;=Calc!$B$2,"Yes","No")</f>
        <v>Yes</v>
      </c>
      <c r="L471" s="19">
        <f>IF(AND(OR(Dashboard!$W$6="All",C471=Dashboard!$W$6),OR(Dashboard!$W$7="All",D471=Dashboard!$W$7)),1,0)</f>
        <v>1</v>
      </c>
      <c r="M471" s="19">
        <f>L471*IF(OR(Dashboard!$W$8="All",J471=Dashboard!$W$8),1,0)</f>
        <v>1</v>
      </c>
    </row>
    <row r="472" spans="1:13" x14ac:dyDescent="0.25">
      <c r="A472" s="23">
        <v>46078.2126041667</v>
      </c>
      <c r="B472" s="19" t="s">
        <v>30</v>
      </c>
      <c r="C472" s="19" t="s">
        <v>29</v>
      </c>
      <c r="D472" s="19" t="s">
        <v>69</v>
      </c>
      <c r="E472" s="19" t="s">
        <v>1005</v>
      </c>
      <c r="F472" s="19" t="s">
        <v>1006</v>
      </c>
      <c r="G472" s="19" t="s">
        <v>93</v>
      </c>
      <c r="H472" s="19">
        <v>42</v>
      </c>
      <c r="I472" s="19">
        <v>206</v>
      </c>
      <c r="J472" s="19" t="str">
        <f t="shared" si="7"/>
        <v>Feb</v>
      </c>
      <c r="K472" s="19" t="str">
        <f>IF(I472&lt;=Calc!$B$2,"Yes","No")</f>
        <v>No</v>
      </c>
      <c r="L472" s="19">
        <f>IF(AND(OR(Dashboard!$W$6="All",C472=Dashboard!$W$6),OR(Dashboard!$W$7="All",D472=Dashboard!$W$7)),1,0)</f>
        <v>1</v>
      </c>
      <c r="M472" s="19">
        <f>L472*IF(OR(Dashboard!$W$8="All",J472=Dashboard!$W$8),1,0)</f>
        <v>1</v>
      </c>
    </row>
    <row r="473" spans="1:13" x14ac:dyDescent="0.25">
      <c r="A473" s="23">
        <v>46078.254629629599</v>
      </c>
      <c r="B473" s="19" t="s">
        <v>30</v>
      </c>
      <c r="C473" s="19" t="s">
        <v>29</v>
      </c>
      <c r="D473" s="19" t="s">
        <v>69</v>
      </c>
      <c r="E473" s="19" t="s">
        <v>1007</v>
      </c>
      <c r="F473" s="19" t="s">
        <v>1008</v>
      </c>
      <c r="G473" s="19" t="s">
        <v>93</v>
      </c>
      <c r="H473" s="19">
        <v>20</v>
      </c>
      <c r="I473" s="19">
        <v>81</v>
      </c>
      <c r="J473" s="19" t="str">
        <f t="shared" si="7"/>
        <v>Feb</v>
      </c>
      <c r="K473" s="19" t="str">
        <f>IF(I473&lt;=Calc!$B$2,"Yes","No")</f>
        <v>No</v>
      </c>
      <c r="L473" s="19">
        <f>IF(AND(OR(Dashboard!$W$6="All",C473=Dashboard!$W$6),OR(Dashboard!$W$7="All",D473=Dashboard!$W$7)),1,0)</f>
        <v>1</v>
      </c>
      <c r="M473" s="19">
        <f>L473*IF(OR(Dashboard!$W$8="All",J473=Dashboard!$W$8),1,0)</f>
        <v>1</v>
      </c>
    </row>
    <row r="474" spans="1:13" x14ac:dyDescent="0.25">
      <c r="A474" s="23">
        <v>46078.406377314801</v>
      </c>
      <c r="B474" s="19" t="s">
        <v>34</v>
      </c>
      <c r="C474" s="19" t="s">
        <v>27</v>
      </c>
      <c r="D474" s="19" t="s">
        <v>73</v>
      </c>
      <c r="E474" s="19" t="s">
        <v>1009</v>
      </c>
      <c r="F474" s="19" t="s">
        <v>1010</v>
      </c>
      <c r="G474" s="19" t="s">
        <v>56</v>
      </c>
      <c r="H474" s="19">
        <v>25</v>
      </c>
      <c r="I474" s="19">
        <v>67</v>
      </c>
      <c r="J474" s="19" t="str">
        <f t="shared" si="7"/>
        <v>Feb</v>
      </c>
      <c r="K474" s="19" t="str">
        <f>IF(I474&lt;=Calc!$B$2,"Yes","No")</f>
        <v>No</v>
      </c>
      <c r="L474" s="19">
        <f>IF(AND(OR(Dashboard!$W$6="All",C474=Dashboard!$W$6),OR(Dashboard!$W$7="All",D474=Dashboard!$W$7)),1,0)</f>
        <v>1</v>
      </c>
      <c r="M474" s="19">
        <f>L474*IF(OR(Dashboard!$W$8="All",J474=Dashboard!$W$8),1,0)</f>
        <v>1</v>
      </c>
    </row>
    <row r="475" spans="1:13" x14ac:dyDescent="0.25">
      <c r="A475" s="23">
        <v>46078.5133333333</v>
      </c>
      <c r="B475" s="19" t="s">
        <v>33</v>
      </c>
      <c r="C475" s="19" t="s">
        <v>27</v>
      </c>
      <c r="D475" s="19" t="s">
        <v>73</v>
      </c>
      <c r="E475" s="19" t="s">
        <v>1011</v>
      </c>
      <c r="F475" s="19" t="s">
        <v>1012</v>
      </c>
      <c r="G475" s="19" t="s">
        <v>68</v>
      </c>
      <c r="H475" s="19">
        <v>15</v>
      </c>
      <c r="I475" s="19">
        <v>84</v>
      </c>
      <c r="J475" s="19" t="str">
        <f t="shared" si="7"/>
        <v>Feb</v>
      </c>
      <c r="K475" s="19" t="str">
        <f>IF(I475&lt;=Calc!$B$2,"Yes","No")</f>
        <v>No</v>
      </c>
      <c r="L475" s="19">
        <f>IF(AND(OR(Dashboard!$W$6="All",C475=Dashboard!$W$6),OR(Dashboard!$W$7="All",D475=Dashboard!$W$7)),1,0)</f>
        <v>1</v>
      </c>
      <c r="M475" s="19">
        <f>L475*IF(OR(Dashboard!$W$8="All",J475=Dashboard!$W$8),1,0)</f>
        <v>1</v>
      </c>
    </row>
    <row r="476" spans="1:13" x14ac:dyDescent="0.25">
      <c r="A476" s="23">
        <v>46078.5618287037</v>
      </c>
      <c r="B476" s="19" t="s">
        <v>30</v>
      </c>
      <c r="C476" s="19" t="s">
        <v>25</v>
      </c>
      <c r="D476" s="19" t="s">
        <v>53</v>
      </c>
      <c r="E476" s="19" t="s">
        <v>1013</v>
      </c>
      <c r="F476" s="19" t="s">
        <v>1014</v>
      </c>
      <c r="G476" s="19" t="s">
        <v>93</v>
      </c>
      <c r="H476" s="19">
        <v>37</v>
      </c>
      <c r="I476" s="19">
        <v>183</v>
      </c>
      <c r="J476" s="19" t="str">
        <f t="shared" si="7"/>
        <v>Feb</v>
      </c>
      <c r="K476" s="19" t="str">
        <f>IF(I476&lt;=Calc!$B$2,"Yes","No")</f>
        <v>No</v>
      </c>
      <c r="L476" s="19">
        <f>IF(AND(OR(Dashboard!$W$6="All",C476=Dashboard!$W$6),OR(Dashboard!$W$7="All",D476=Dashboard!$W$7)),1,0)</f>
        <v>1</v>
      </c>
      <c r="M476" s="19">
        <f>L476*IF(OR(Dashboard!$W$8="All",J476=Dashboard!$W$8),1,0)</f>
        <v>1</v>
      </c>
    </row>
    <row r="477" spans="1:13" x14ac:dyDescent="0.25">
      <c r="A477" s="23">
        <v>46078.701967592599</v>
      </c>
      <c r="B477" s="19" t="s">
        <v>35</v>
      </c>
      <c r="C477" s="19" t="s">
        <v>25</v>
      </c>
      <c r="D477" s="19" t="s">
        <v>53</v>
      </c>
      <c r="E477" s="19" t="s">
        <v>1015</v>
      </c>
      <c r="F477" s="19" t="s">
        <v>1016</v>
      </c>
      <c r="G477" s="19" t="s">
        <v>64</v>
      </c>
      <c r="H477" s="19">
        <v>20</v>
      </c>
      <c r="I477" s="19">
        <v>144</v>
      </c>
      <c r="J477" s="19" t="str">
        <f t="shared" si="7"/>
        <v>Feb</v>
      </c>
      <c r="K477" s="19" t="str">
        <f>IF(I477&lt;=Calc!$B$2,"Yes","No")</f>
        <v>No</v>
      </c>
      <c r="L477" s="19">
        <f>IF(AND(OR(Dashboard!$W$6="All",C477=Dashboard!$W$6),OR(Dashboard!$W$7="All",D477=Dashboard!$W$7)),1,0)</f>
        <v>1</v>
      </c>
      <c r="M477" s="19">
        <f>L477*IF(OR(Dashboard!$W$8="All",J477=Dashboard!$W$8),1,0)</f>
        <v>1</v>
      </c>
    </row>
    <row r="478" spans="1:13" x14ac:dyDescent="0.25">
      <c r="A478" s="23">
        <v>46078.925821759301</v>
      </c>
      <c r="B478" s="19" t="s">
        <v>28</v>
      </c>
      <c r="C478" s="19" t="s">
        <v>25</v>
      </c>
      <c r="D478" s="19" t="s">
        <v>73</v>
      </c>
      <c r="E478" s="19" t="s">
        <v>1017</v>
      </c>
      <c r="F478" s="19" t="s">
        <v>1018</v>
      </c>
      <c r="G478" s="19" t="s">
        <v>90</v>
      </c>
      <c r="H478" s="19">
        <v>31</v>
      </c>
      <c r="I478" s="19">
        <v>124</v>
      </c>
      <c r="J478" s="19" t="str">
        <f t="shared" si="7"/>
        <v>Feb</v>
      </c>
      <c r="K478" s="19" t="str">
        <f>IF(I478&lt;=Calc!$B$2,"Yes","No")</f>
        <v>No</v>
      </c>
      <c r="L478" s="19">
        <f>IF(AND(OR(Dashboard!$W$6="All",C478=Dashboard!$W$6),OR(Dashboard!$W$7="All",D478=Dashboard!$W$7)),1,0)</f>
        <v>1</v>
      </c>
      <c r="M478" s="19">
        <f>L478*IF(OR(Dashboard!$W$8="All",J478=Dashboard!$W$8),1,0)</f>
        <v>1</v>
      </c>
    </row>
    <row r="479" spans="1:13" x14ac:dyDescent="0.25">
      <c r="A479" s="23">
        <v>46078.9347569444</v>
      </c>
      <c r="B479" s="19" t="s">
        <v>34</v>
      </c>
      <c r="C479" s="19" t="s">
        <v>29</v>
      </c>
      <c r="D479" s="19" t="s">
        <v>73</v>
      </c>
      <c r="E479" s="19" t="s">
        <v>1019</v>
      </c>
      <c r="F479" s="19" t="s">
        <v>1020</v>
      </c>
      <c r="G479" s="19" t="s">
        <v>56</v>
      </c>
      <c r="H479" s="19">
        <v>32</v>
      </c>
      <c r="I479" s="19">
        <v>218</v>
      </c>
      <c r="J479" s="19" t="str">
        <f t="shared" si="7"/>
        <v>Feb</v>
      </c>
      <c r="K479" s="19" t="str">
        <f>IF(I479&lt;=Calc!$B$2,"Yes","No")</f>
        <v>No</v>
      </c>
      <c r="L479" s="19">
        <f>IF(AND(OR(Dashboard!$W$6="All",C479=Dashboard!$W$6),OR(Dashboard!$W$7="All",D479=Dashboard!$W$7)),1,0)</f>
        <v>1</v>
      </c>
      <c r="M479" s="19">
        <f>L479*IF(OR(Dashboard!$W$8="All",J479=Dashboard!$W$8),1,0)</f>
        <v>1</v>
      </c>
    </row>
    <row r="480" spans="1:13" x14ac:dyDescent="0.25">
      <c r="A480" s="23">
        <v>46078.9466203704</v>
      </c>
      <c r="B480" s="19" t="s">
        <v>28</v>
      </c>
      <c r="C480" s="19" t="s">
        <v>27</v>
      </c>
      <c r="D480" s="19" t="s">
        <v>73</v>
      </c>
      <c r="E480" s="19" t="s">
        <v>1021</v>
      </c>
      <c r="F480" s="19" t="s">
        <v>1022</v>
      </c>
      <c r="G480" s="19" t="s">
        <v>90</v>
      </c>
      <c r="H480" s="19">
        <v>16</v>
      </c>
      <c r="I480" s="19">
        <v>58</v>
      </c>
      <c r="J480" s="19" t="str">
        <f t="shared" si="7"/>
        <v>Feb</v>
      </c>
      <c r="K480" s="19" t="str">
        <f>IF(I480&lt;=Calc!$B$2,"Yes","No")</f>
        <v>Yes</v>
      </c>
      <c r="L480" s="19">
        <f>IF(AND(OR(Dashboard!$W$6="All",C480=Dashboard!$W$6),OR(Dashboard!$W$7="All",D480=Dashboard!$W$7)),1,0)</f>
        <v>1</v>
      </c>
      <c r="M480" s="19">
        <f>L480*IF(OR(Dashboard!$W$8="All",J480=Dashboard!$W$8),1,0)</f>
        <v>1</v>
      </c>
    </row>
    <row r="481" spans="1:13" x14ac:dyDescent="0.25">
      <c r="A481" s="23">
        <v>46079.164282407401</v>
      </c>
      <c r="B481" s="19" t="s">
        <v>33</v>
      </c>
      <c r="C481" s="19" t="s">
        <v>27</v>
      </c>
      <c r="D481" s="19" t="s">
        <v>65</v>
      </c>
      <c r="E481" s="19" t="s">
        <v>1023</v>
      </c>
      <c r="F481" s="19" t="s">
        <v>1024</v>
      </c>
      <c r="G481" s="19" t="s">
        <v>68</v>
      </c>
      <c r="H481" s="19">
        <v>8</v>
      </c>
      <c r="I481" s="19">
        <v>54</v>
      </c>
      <c r="J481" s="19" t="str">
        <f t="shared" si="7"/>
        <v>Feb</v>
      </c>
      <c r="K481" s="19" t="str">
        <f>IF(I481&lt;=Calc!$B$2,"Yes","No")</f>
        <v>Yes</v>
      </c>
      <c r="L481" s="19">
        <f>IF(AND(OR(Dashboard!$W$6="All",C481=Dashboard!$W$6),OR(Dashboard!$W$7="All",D481=Dashboard!$W$7)),1,0)</f>
        <v>1</v>
      </c>
      <c r="M481" s="19">
        <f>L481*IF(OR(Dashboard!$W$8="All",J481=Dashboard!$W$8),1,0)</f>
        <v>1</v>
      </c>
    </row>
    <row r="482" spans="1:13" x14ac:dyDescent="0.25">
      <c r="A482" s="23">
        <v>46079.260763888902</v>
      </c>
      <c r="B482" s="19" t="s">
        <v>35</v>
      </c>
      <c r="C482" s="19" t="s">
        <v>29</v>
      </c>
      <c r="D482" s="19" t="s">
        <v>69</v>
      </c>
      <c r="E482" s="19" t="s">
        <v>1025</v>
      </c>
      <c r="F482" s="19" t="s">
        <v>1026</v>
      </c>
      <c r="G482" s="19" t="s">
        <v>64</v>
      </c>
      <c r="H482" s="19">
        <v>17</v>
      </c>
      <c r="I482" s="19">
        <v>145</v>
      </c>
      <c r="J482" s="19" t="str">
        <f t="shared" si="7"/>
        <v>Feb</v>
      </c>
      <c r="K482" s="19" t="str">
        <f>IF(I482&lt;=Calc!$B$2,"Yes","No")</f>
        <v>No</v>
      </c>
      <c r="L482" s="19">
        <f>IF(AND(OR(Dashboard!$W$6="All",C482=Dashboard!$W$6),OR(Dashboard!$W$7="All",D482=Dashboard!$W$7)),1,0)</f>
        <v>1</v>
      </c>
      <c r="M482" s="19">
        <f>L482*IF(OR(Dashboard!$W$8="All",J482=Dashboard!$W$8),1,0)</f>
        <v>1</v>
      </c>
    </row>
    <row r="483" spans="1:13" x14ac:dyDescent="0.25">
      <c r="A483" s="23">
        <v>46079.271030092597</v>
      </c>
      <c r="B483" s="19" t="s">
        <v>30</v>
      </c>
      <c r="C483" s="19" t="s">
        <v>27</v>
      </c>
      <c r="D483" s="19" t="s">
        <v>65</v>
      </c>
      <c r="E483" s="19" t="s">
        <v>1027</v>
      </c>
      <c r="F483" s="19" t="s">
        <v>1028</v>
      </c>
      <c r="G483" s="19" t="s">
        <v>93</v>
      </c>
      <c r="H483" s="19">
        <v>11</v>
      </c>
      <c r="I483" s="19">
        <v>101</v>
      </c>
      <c r="J483" s="19" t="str">
        <f t="shared" si="7"/>
        <v>Feb</v>
      </c>
      <c r="K483" s="19" t="str">
        <f>IF(I483&lt;=Calc!$B$2,"Yes","No")</f>
        <v>No</v>
      </c>
      <c r="L483" s="19">
        <f>IF(AND(OR(Dashboard!$W$6="All",C483=Dashboard!$W$6),OR(Dashboard!$W$7="All",D483=Dashboard!$W$7)),1,0)</f>
        <v>1</v>
      </c>
      <c r="M483" s="19">
        <f>L483*IF(OR(Dashboard!$W$8="All",J483=Dashboard!$W$8),1,0)</f>
        <v>1</v>
      </c>
    </row>
    <row r="484" spans="1:13" x14ac:dyDescent="0.25">
      <c r="A484" s="23">
        <v>46079.342812499999</v>
      </c>
      <c r="B484" s="19" t="s">
        <v>32</v>
      </c>
      <c r="C484" s="19" t="s">
        <v>27</v>
      </c>
      <c r="D484" s="19" t="s">
        <v>69</v>
      </c>
      <c r="E484" s="19" t="s">
        <v>1029</v>
      </c>
      <c r="F484" s="19" t="s">
        <v>1030</v>
      </c>
      <c r="G484" s="19" t="s">
        <v>72</v>
      </c>
      <c r="H484" s="19">
        <v>28</v>
      </c>
      <c r="I484" s="19">
        <v>102</v>
      </c>
      <c r="J484" s="19" t="str">
        <f t="shared" si="7"/>
        <v>Feb</v>
      </c>
      <c r="K484" s="19" t="str">
        <f>IF(I484&lt;=Calc!$B$2,"Yes","No")</f>
        <v>No</v>
      </c>
      <c r="L484" s="19">
        <f>IF(AND(OR(Dashboard!$W$6="All",C484=Dashboard!$W$6),OR(Dashboard!$W$7="All",D484=Dashboard!$W$7)),1,0)</f>
        <v>1</v>
      </c>
      <c r="M484" s="19">
        <f>L484*IF(OR(Dashboard!$W$8="All",J484=Dashboard!$W$8),1,0)</f>
        <v>1</v>
      </c>
    </row>
    <row r="485" spans="1:13" x14ac:dyDescent="0.25">
      <c r="A485" s="23">
        <v>46079.387233796297</v>
      </c>
      <c r="B485" s="19" t="s">
        <v>36</v>
      </c>
      <c r="C485" s="19" t="s">
        <v>27</v>
      </c>
      <c r="D485" s="19" t="s">
        <v>73</v>
      </c>
      <c r="E485" s="19" t="s">
        <v>1031</v>
      </c>
      <c r="F485" s="19" t="s">
        <v>1032</v>
      </c>
      <c r="G485" s="19" t="s">
        <v>59</v>
      </c>
      <c r="H485" s="19">
        <v>1</v>
      </c>
      <c r="I485" s="19">
        <v>73</v>
      </c>
      <c r="J485" s="19" t="str">
        <f t="shared" si="7"/>
        <v>Feb</v>
      </c>
      <c r="K485" s="19" t="str">
        <f>IF(I485&lt;=Calc!$B$2,"Yes","No")</f>
        <v>No</v>
      </c>
      <c r="L485" s="19">
        <f>IF(AND(OR(Dashboard!$W$6="All",C485=Dashboard!$W$6),OR(Dashboard!$W$7="All",D485=Dashboard!$W$7)),1,0)</f>
        <v>1</v>
      </c>
      <c r="M485" s="19">
        <f>L485*IF(OR(Dashboard!$W$8="All",J485=Dashboard!$W$8),1,0)</f>
        <v>1</v>
      </c>
    </row>
    <row r="486" spans="1:13" x14ac:dyDescent="0.25">
      <c r="A486" s="23">
        <v>46079.410300925898</v>
      </c>
      <c r="B486" s="19" t="s">
        <v>32</v>
      </c>
      <c r="C486" s="19" t="s">
        <v>25</v>
      </c>
      <c r="D486" s="19" t="s">
        <v>65</v>
      </c>
      <c r="E486" s="19" t="s">
        <v>1033</v>
      </c>
      <c r="F486" s="19" t="s">
        <v>1034</v>
      </c>
      <c r="G486" s="19" t="s">
        <v>72</v>
      </c>
      <c r="H486" s="19">
        <v>36</v>
      </c>
      <c r="I486" s="19">
        <v>157</v>
      </c>
      <c r="J486" s="19" t="str">
        <f t="shared" si="7"/>
        <v>Feb</v>
      </c>
      <c r="K486" s="19" t="str">
        <f>IF(I486&lt;=Calc!$B$2,"Yes","No")</f>
        <v>No</v>
      </c>
      <c r="L486" s="19">
        <f>IF(AND(OR(Dashboard!$W$6="All",C486=Dashboard!$W$6),OR(Dashboard!$W$7="All",D486=Dashboard!$W$7)),1,0)</f>
        <v>1</v>
      </c>
      <c r="M486" s="19">
        <f>L486*IF(OR(Dashboard!$W$8="All",J486=Dashboard!$W$8),1,0)</f>
        <v>1</v>
      </c>
    </row>
    <row r="487" spans="1:13" x14ac:dyDescent="0.25">
      <c r="A487" s="23">
        <v>46079.618020833303</v>
      </c>
      <c r="B487" s="19" t="s">
        <v>30</v>
      </c>
      <c r="C487" s="19" t="s">
        <v>29</v>
      </c>
      <c r="D487" s="19" t="s">
        <v>69</v>
      </c>
      <c r="E487" s="19" t="s">
        <v>1035</v>
      </c>
      <c r="F487" s="19" t="s">
        <v>1036</v>
      </c>
      <c r="G487" s="19" t="s">
        <v>93</v>
      </c>
      <c r="H487" s="19">
        <v>35</v>
      </c>
      <c r="I487" s="19">
        <v>168</v>
      </c>
      <c r="J487" s="19" t="str">
        <f t="shared" si="7"/>
        <v>Feb</v>
      </c>
      <c r="K487" s="19" t="str">
        <f>IF(I487&lt;=Calc!$B$2,"Yes","No")</f>
        <v>No</v>
      </c>
      <c r="L487" s="19">
        <f>IF(AND(OR(Dashboard!$W$6="All",C487=Dashboard!$W$6),OR(Dashboard!$W$7="All",D487=Dashboard!$W$7)),1,0)</f>
        <v>1</v>
      </c>
      <c r="M487" s="19">
        <f>L487*IF(OR(Dashboard!$W$8="All",J487=Dashboard!$W$8),1,0)</f>
        <v>1</v>
      </c>
    </row>
    <row r="488" spans="1:13" x14ac:dyDescent="0.25">
      <c r="A488" s="23">
        <v>46079.718009259297</v>
      </c>
      <c r="B488" s="19" t="s">
        <v>28</v>
      </c>
      <c r="C488" s="19" t="s">
        <v>31</v>
      </c>
      <c r="D488" s="19" t="s">
        <v>65</v>
      </c>
      <c r="E488" s="19" t="s">
        <v>1037</v>
      </c>
      <c r="F488" s="19" t="s">
        <v>1038</v>
      </c>
      <c r="G488" s="19" t="s">
        <v>90</v>
      </c>
      <c r="H488" s="19">
        <v>14</v>
      </c>
      <c r="I488" s="19">
        <v>63</v>
      </c>
      <c r="J488" s="19" t="str">
        <f t="shared" si="7"/>
        <v>Feb</v>
      </c>
      <c r="K488" s="19" t="str">
        <f>IF(I488&lt;=Calc!$B$2,"Yes","No")</f>
        <v>No</v>
      </c>
      <c r="L488" s="19">
        <f>IF(AND(OR(Dashboard!$W$6="All",C488=Dashboard!$W$6),OR(Dashboard!$W$7="All",D488=Dashboard!$W$7)),1,0)</f>
        <v>1</v>
      </c>
      <c r="M488" s="19">
        <f>L488*IF(OR(Dashboard!$W$8="All",J488=Dashboard!$W$8),1,0)</f>
        <v>1</v>
      </c>
    </row>
    <row r="489" spans="1:13" x14ac:dyDescent="0.25">
      <c r="A489" s="23">
        <v>46079.809583333299</v>
      </c>
      <c r="B489" s="19" t="s">
        <v>32</v>
      </c>
      <c r="C489" s="19" t="s">
        <v>29</v>
      </c>
      <c r="D489" s="19" t="s">
        <v>65</v>
      </c>
      <c r="E489" s="19" t="s">
        <v>1039</v>
      </c>
      <c r="F489" s="19" t="s">
        <v>1040</v>
      </c>
      <c r="G489" s="19" t="s">
        <v>72</v>
      </c>
      <c r="H489" s="19">
        <v>19</v>
      </c>
      <c r="I489" s="19">
        <v>128</v>
      </c>
      <c r="J489" s="19" t="str">
        <f t="shared" si="7"/>
        <v>Feb</v>
      </c>
      <c r="K489" s="19" t="str">
        <f>IF(I489&lt;=Calc!$B$2,"Yes","No")</f>
        <v>No</v>
      </c>
      <c r="L489" s="19">
        <f>IF(AND(OR(Dashboard!$W$6="All",C489=Dashboard!$W$6),OR(Dashboard!$W$7="All",D489=Dashboard!$W$7)),1,0)</f>
        <v>1</v>
      </c>
      <c r="M489" s="19">
        <f>L489*IF(OR(Dashboard!$W$8="All",J489=Dashboard!$W$8),1,0)</f>
        <v>1</v>
      </c>
    </row>
    <row r="490" spans="1:13" x14ac:dyDescent="0.25">
      <c r="A490" s="23">
        <v>46080.0475462963</v>
      </c>
      <c r="B490" s="19" t="s">
        <v>32</v>
      </c>
      <c r="C490" s="19" t="s">
        <v>31</v>
      </c>
      <c r="D490" s="19" t="s">
        <v>53</v>
      </c>
      <c r="E490" s="19" t="s">
        <v>1041</v>
      </c>
      <c r="F490" s="19" t="s">
        <v>1042</v>
      </c>
      <c r="G490" s="19" t="s">
        <v>72</v>
      </c>
      <c r="H490" s="19">
        <v>36</v>
      </c>
      <c r="I490" s="19">
        <v>128</v>
      </c>
      <c r="J490" s="19" t="str">
        <f t="shared" si="7"/>
        <v>Feb</v>
      </c>
      <c r="K490" s="19" t="str">
        <f>IF(I490&lt;=Calc!$B$2,"Yes","No")</f>
        <v>No</v>
      </c>
      <c r="L490" s="19">
        <f>IF(AND(OR(Dashboard!$W$6="All",C490=Dashboard!$W$6),OR(Dashboard!$W$7="All",D490=Dashboard!$W$7)),1,0)</f>
        <v>1</v>
      </c>
      <c r="M490" s="19">
        <f>L490*IF(OR(Dashboard!$W$8="All",J490=Dashboard!$W$8),1,0)</f>
        <v>1</v>
      </c>
    </row>
    <row r="491" spans="1:13" x14ac:dyDescent="0.25">
      <c r="A491" s="23">
        <v>46080.048715277801</v>
      </c>
      <c r="B491" s="19" t="s">
        <v>34</v>
      </c>
      <c r="C491" s="19" t="s">
        <v>25</v>
      </c>
      <c r="D491" s="19" t="s">
        <v>65</v>
      </c>
      <c r="E491" s="19" t="s">
        <v>1043</v>
      </c>
      <c r="F491" s="19" t="s">
        <v>1044</v>
      </c>
      <c r="G491" s="19" t="s">
        <v>56</v>
      </c>
      <c r="H491" s="19">
        <v>34</v>
      </c>
      <c r="I491" s="19">
        <v>140</v>
      </c>
      <c r="J491" s="19" t="str">
        <f t="shared" si="7"/>
        <v>Feb</v>
      </c>
      <c r="K491" s="19" t="str">
        <f>IF(I491&lt;=Calc!$B$2,"Yes","No")</f>
        <v>No</v>
      </c>
      <c r="L491" s="19">
        <f>IF(AND(OR(Dashboard!$W$6="All",C491=Dashboard!$W$6),OR(Dashboard!$W$7="All",D491=Dashboard!$W$7)),1,0)</f>
        <v>1</v>
      </c>
      <c r="M491" s="19">
        <f>L491*IF(OR(Dashboard!$W$8="All",J491=Dashboard!$W$8),1,0)</f>
        <v>1</v>
      </c>
    </row>
    <row r="492" spans="1:13" x14ac:dyDescent="0.25">
      <c r="A492" s="23">
        <v>46080.167881944399</v>
      </c>
      <c r="B492" s="19" t="s">
        <v>26</v>
      </c>
      <c r="C492" s="19" t="s">
        <v>29</v>
      </c>
      <c r="D492" s="19" t="s">
        <v>69</v>
      </c>
      <c r="E492" s="19" t="s">
        <v>1045</v>
      </c>
      <c r="F492" s="19" t="s">
        <v>1046</v>
      </c>
      <c r="G492" s="19" t="s">
        <v>100</v>
      </c>
      <c r="H492" s="19">
        <v>43</v>
      </c>
      <c r="I492" s="19">
        <v>175</v>
      </c>
      <c r="J492" s="19" t="str">
        <f t="shared" si="7"/>
        <v>Feb</v>
      </c>
      <c r="K492" s="19" t="str">
        <f>IF(I492&lt;=Calc!$B$2,"Yes","No")</f>
        <v>No</v>
      </c>
      <c r="L492" s="19">
        <f>IF(AND(OR(Dashboard!$W$6="All",C492=Dashboard!$W$6),OR(Dashboard!$W$7="All",D492=Dashboard!$W$7)),1,0)</f>
        <v>1</v>
      </c>
      <c r="M492" s="19">
        <f>L492*IF(OR(Dashboard!$W$8="All",J492=Dashboard!$W$8),1,0)</f>
        <v>1</v>
      </c>
    </row>
    <row r="493" spans="1:13" x14ac:dyDescent="0.25">
      <c r="A493" s="23">
        <v>46080.286840277797</v>
      </c>
      <c r="B493" s="19" t="s">
        <v>35</v>
      </c>
      <c r="C493" s="19" t="s">
        <v>27</v>
      </c>
      <c r="D493" s="19" t="s">
        <v>65</v>
      </c>
      <c r="E493" s="19" t="s">
        <v>1047</v>
      </c>
      <c r="F493" s="19" t="s">
        <v>1048</v>
      </c>
      <c r="G493" s="19" t="s">
        <v>64</v>
      </c>
      <c r="H493" s="19">
        <v>20</v>
      </c>
      <c r="I493" s="19">
        <v>43</v>
      </c>
      <c r="J493" s="19" t="str">
        <f t="shared" si="7"/>
        <v>Feb</v>
      </c>
      <c r="K493" s="19" t="str">
        <f>IF(I493&lt;=Calc!$B$2,"Yes","No")</f>
        <v>Yes</v>
      </c>
      <c r="L493" s="19">
        <f>IF(AND(OR(Dashboard!$W$6="All",C493=Dashboard!$W$6),OR(Dashboard!$W$7="All",D493=Dashboard!$W$7)),1,0)</f>
        <v>1</v>
      </c>
      <c r="M493" s="19">
        <f>L493*IF(OR(Dashboard!$W$8="All",J493=Dashboard!$W$8),1,0)</f>
        <v>1</v>
      </c>
    </row>
    <row r="494" spans="1:13" x14ac:dyDescent="0.25">
      <c r="A494" s="23">
        <v>46080.812685185199</v>
      </c>
      <c r="B494" s="19" t="s">
        <v>32</v>
      </c>
      <c r="C494" s="19" t="s">
        <v>29</v>
      </c>
      <c r="D494" s="19" t="s">
        <v>69</v>
      </c>
      <c r="E494" s="19" t="s">
        <v>1049</v>
      </c>
      <c r="F494" s="19" t="s">
        <v>1050</v>
      </c>
      <c r="G494" s="19" t="s">
        <v>72</v>
      </c>
      <c r="H494" s="19">
        <v>15</v>
      </c>
      <c r="I494" s="19">
        <v>57</v>
      </c>
      <c r="J494" s="19" t="str">
        <f t="shared" si="7"/>
        <v>Feb</v>
      </c>
      <c r="K494" s="19" t="str">
        <f>IF(I494&lt;=Calc!$B$2,"Yes","No")</f>
        <v>Yes</v>
      </c>
      <c r="L494" s="19">
        <f>IF(AND(OR(Dashboard!$W$6="All",C494=Dashboard!$W$6),OR(Dashboard!$W$7="All",D494=Dashboard!$W$7)),1,0)</f>
        <v>1</v>
      </c>
      <c r="M494" s="19">
        <f>L494*IF(OR(Dashboard!$W$8="All",J494=Dashboard!$W$8),1,0)</f>
        <v>1</v>
      </c>
    </row>
    <row r="495" spans="1:13" x14ac:dyDescent="0.25">
      <c r="A495" s="23">
        <v>46080.929432870398</v>
      </c>
      <c r="B495" s="19" t="s">
        <v>34</v>
      </c>
      <c r="C495" s="19" t="s">
        <v>25</v>
      </c>
      <c r="D495" s="19" t="s">
        <v>53</v>
      </c>
      <c r="E495" s="19" t="s">
        <v>1051</v>
      </c>
      <c r="F495" s="19" t="s">
        <v>1052</v>
      </c>
      <c r="G495" s="19" t="s">
        <v>56</v>
      </c>
      <c r="H495" s="19">
        <v>30</v>
      </c>
      <c r="I495" s="19">
        <v>152</v>
      </c>
      <c r="J495" s="19" t="str">
        <f t="shared" si="7"/>
        <v>Feb</v>
      </c>
      <c r="K495" s="19" t="str">
        <f>IF(I495&lt;=Calc!$B$2,"Yes","No")</f>
        <v>No</v>
      </c>
      <c r="L495" s="19">
        <f>IF(AND(OR(Dashboard!$W$6="All",C495=Dashboard!$W$6),OR(Dashboard!$W$7="All",D495=Dashboard!$W$7)),1,0)</f>
        <v>1</v>
      </c>
      <c r="M495" s="19">
        <f>L495*IF(OR(Dashboard!$W$8="All",J495=Dashboard!$W$8),1,0)</f>
        <v>1</v>
      </c>
    </row>
    <row r="496" spans="1:13" x14ac:dyDescent="0.25">
      <c r="A496" s="23">
        <v>46081.2574537037</v>
      </c>
      <c r="B496" s="19" t="s">
        <v>28</v>
      </c>
      <c r="C496" s="19" t="s">
        <v>29</v>
      </c>
      <c r="D496" s="19" t="s">
        <v>53</v>
      </c>
      <c r="E496" s="19" t="s">
        <v>1053</v>
      </c>
      <c r="F496" s="19" t="s">
        <v>1054</v>
      </c>
      <c r="G496" s="19" t="s">
        <v>90</v>
      </c>
      <c r="H496" s="19">
        <v>44</v>
      </c>
      <c r="I496" s="19">
        <v>132</v>
      </c>
      <c r="J496" s="19" t="str">
        <f t="shared" si="7"/>
        <v>Feb</v>
      </c>
      <c r="K496" s="19" t="str">
        <f>IF(I496&lt;=Calc!$B$2,"Yes","No")</f>
        <v>No</v>
      </c>
      <c r="L496" s="19">
        <f>IF(AND(OR(Dashboard!$W$6="All",C496=Dashboard!$W$6),OR(Dashboard!$W$7="All",D496=Dashboard!$W$7)),1,0)</f>
        <v>1</v>
      </c>
      <c r="M496" s="19">
        <f>L496*IF(OR(Dashboard!$W$8="All",J496=Dashboard!$W$8),1,0)</f>
        <v>1</v>
      </c>
    </row>
    <row r="497" spans="1:13" x14ac:dyDescent="0.25">
      <c r="A497" s="23">
        <v>46081.614780092597</v>
      </c>
      <c r="B497" s="19" t="s">
        <v>32</v>
      </c>
      <c r="C497" s="19" t="s">
        <v>29</v>
      </c>
      <c r="D497" s="19" t="s">
        <v>65</v>
      </c>
      <c r="E497" s="19" t="s">
        <v>1055</v>
      </c>
      <c r="F497" s="19" t="s">
        <v>1056</v>
      </c>
      <c r="G497" s="19" t="s">
        <v>72</v>
      </c>
      <c r="H497" s="19">
        <v>42</v>
      </c>
      <c r="I497" s="19">
        <v>130</v>
      </c>
      <c r="J497" s="19" t="str">
        <f t="shared" si="7"/>
        <v>Feb</v>
      </c>
      <c r="K497" s="19" t="str">
        <f>IF(I497&lt;=Calc!$B$2,"Yes","No")</f>
        <v>No</v>
      </c>
      <c r="L497" s="19">
        <f>IF(AND(OR(Dashboard!$W$6="All",C497=Dashboard!$W$6),OR(Dashboard!$W$7="All",D497=Dashboard!$W$7)),1,0)</f>
        <v>1</v>
      </c>
      <c r="M497" s="19">
        <f>L497*IF(OR(Dashboard!$W$8="All",J497=Dashboard!$W$8),1,0)</f>
        <v>1</v>
      </c>
    </row>
    <row r="498" spans="1:13" x14ac:dyDescent="0.25">
      <c r="A498" s="23">
        <v>46081.663067129601</v>
      </c>
      <c r="B498" s="19" t="s">
        <v>36</v>
      </c>
      <c r="C498" s="19" t="s">
        <v>25</v>
      </c>
      <c r="D498" s="19" t="s">
        <v>73</v>
      </c>
      <c r="E498" s="19" t="s">
        <v>1057</v>
      </c>
      <c r="F498" s="19" t="s">
        <v>1058</v>
      </c>
      <c r="G498" s="19" t="s">
        <v>59</v>
      </c>
      <c r="H498" s="19">
        <v>18</v>
      </c>
      <c r="I498" s="19">
        <v>140</v>
      </c>
      <c r="J498" s="19" t="str">
        <f t="shared" si="7"/>
        <v>Feb</v>
      </c>
      <c r="K498" s="19" t="str">
        <f>IF(I498&lt;=Calc!$B$2,"Yes","No")</f>
        <v>No</v>
      </c>
      <c r="L498" s="19">
        <f>IF(AND(OR(Dashboard!$W$6="All",C498=Dashboard!$W$6),OR(Dashboard!$W$7="All",D498=Dashboard!$W$7)),1,0)</f>
        <v>1</v>
      </c>
      <c r="M498" s="19">
        <f>L498*IF(OR(Dashboard!$W$8="All",J498=Dashboard!$W$8),1,0)</f>
        <v>1</v>
      </c>
    </row>
    <row r="499" spans="1:13" x14ac:dyDescent="0.25">
      <c r="A499" s="23">
        <v>46081.753159722197</v>
      </c>
      <c r="B499" s="19" t="s">
        <v>30</v>
      </c>
      <c r="C499" s="19" t="s">
        <v>25</v>
      </c>
      <c r="D499" s="19" t="s">
        <v>53</v>
      </c>
      <c r="E499" s="19" t="s">
        <v>1059</v>
      </c>
      <c r="F499" s="19" t="s">
        <v>1060</v>
      </c>
      <c r="G499" s="19" t="s">
        <v>93</v>
      </c>
      <c r="H499" s="19">
        <v>36</v>
      </c>
      <c r="I499" s="19">
        <v>192</v>
      </c>
      <c r="J499" s="19" t="str">
        <f t="shared" si="7"/>
        <v>Feb</v>
      </c>
      <c r="K499" s="19" t="str">
        <f>IF(I499&lt;=Calc!$B$2,"Yes","No")</f>
        <v>No</v>
      </c>
      <c r="L499" s="19">
        <f>IF(AND(OR(Dashboard!$W$6="All",C499=Dashboard!$W$6),OR(Dashboard!$W$7="All",D499=Dashboard!$W$7)),1,0)</f>
        <v>1</v>
      </c>
      <c r="M499" s="19">
        <f>L499*IF(OR(Dashboard!$W$8="All",J499=Dashboard!$W$8),1,0)</f>
        <v>1</v>
      </c>
    </row>
    <row r="500" spans="1:13" x14ac:dyDescent="0.25">
      <c r="A500" s="23">
        <v>46081.795590277798</v>
      </c>
      <c r="B500" s="19" t="s">
        <v>26</v>
      </c>
      <c r="C500" s="19" t="s">
        <v>29</v>
      </c>
      <c r="D500" s="19" t="s">
        <v>65</v>
      </c>
      <c r="E500" s="19" t="s">
        <v>1061</v>
      </c>
      <c r="F500" s="19" t="s">
        <v>1062</v>
      </c>
      <c r="G500" s="19" t="s">
        <v>100</v>
      </c>
      <c r="H500" s="19">
        <v>21</v>
      </c>
      <c r="I500" s="19">
        <v>177</v>
      </c>
      <c r="J500" s="19" t="str">
        <f t="shared" si="7"/>
        <v>Feb</v>
      </c>
      <c r="K500" s="19" t="str">
        <f>IF(I500&lt;=Calc!$B$2,"Yes","No")</f>
        <v>No</v>
      </c>
      <c r="L500" s="19">
        <f>IF(AND(OR(Dashboard!$W$6="All",C500=Dashboard!$W$6),OR(Dashboard!$W$7="All",D500=Dashboard!$W$7)),1,0)</f>
        <v>1</v>
      </c>
      <c r="M500" s="19">
        <f>L500*IF(OR(Dashboard!$W$8="All",J500=Dashboard!$W$8),1,0)</f>
        <v>1</v>
      </c>
    </row>
    <row r="501" spans="1:13" x14ac:dyDescent="0.25">
      <c r="A501" s="23">
        <v>46081.8917013889</v>
      </c>
      <c r="B501" s="19" t="s">
        <v>26</v>
      </c>
      <c r="C501" s="19" t="s">
        <v>31</v>
      </c>
      <c r="D501" s="19" t="s">
        <v>65</v>
      </c>
      <c r="E501" s="19" t="s">
        <v>1063</v>
      </c>
      <c r="F501" s="19" t="s">
        <v>1064</v>
      </c>
      <c r="G501" s="19" t="s">
        <v>100</v>
      </c>
      <c r="H501" s="19">
        <v>11</v>
      </c>
      <c r="I501" s="19">
        <v>115</v>
      </c>
      <c r="J501" s="19" t="str">
        <f t="shared" si="7"/>
        <v>Feb</v>
      </c>
      <c r="K501" s="19" t="str">
        <f>IF(I501&lt;=Calc!$B$2,"Yes","No")</f>
        <v>No</v>
      </c>
      <c r="L501" s="19">
        <f>IF(AND(OR(Dashboard!$W$6="All",C501=Dashboard!$W$6),OR(Dashboard!$W$7="All",D501=Dashboard!$W$7)),1,0)</f>
        <v>1</v>
      </c>
      <c r="M501" s="19">
        <f>L501*IF(OR(Dashboard!$W$8="All",J501=Dashboard!$W$8),1,0)</f>
        <v>1</v>
      </c>
    </row>
  </sheetData>
  <autoFilter ref="A1:M5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Calc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Ashik Arif</cp:lastModifiedBy>
  <cp:revision>1</cp:revision>
  <dcterms:created xsi:type="dcterms:W3CDTF">2026-10-03T17:46:33Z</dcterms:created>
  <dcterms:modified xsi:type="dcterms:W3CDTF">2026-10-03T17:50:48Z</dcterms:modified>
  <dc:language>en-US</dc:language>
</cp:coreProperties>
</file>